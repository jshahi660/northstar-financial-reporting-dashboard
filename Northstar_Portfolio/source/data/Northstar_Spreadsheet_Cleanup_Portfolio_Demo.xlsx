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orthstar_Portfolio\excel_work\"/>
    </mc:Choice>
  </mc:AlternateContent>
  <bookViews>
    <workbookView xWindow="0" yWindow="0" windowWidth="17256" windowHeight="5916" firstSheet="3" activeTab="8"/>
  </bookViews>
  <sheets>
    <sheet name="START_HERE" sheetId="1" state="hidden" r:id="rId1"/>
    <sheet name="RAW_MESSY" sheetId="2" r:id="rId2"/>
    <sheet name="CLEAN_TRANSACTIONS" sheetId="3" r:id="rId3"/>
    <sheet name="MONTHLY_SUMMARY" sheetId="4" r:id="rId4"/>
    <sheet name="P_AND_L" sheetId="5" r:id="rId5"/>
    <sheet name="AR_OPEN" sheetId="6" r:id="rId6"/>
    <sheet name="AP_OPEN" sheetId="7" r:id="rId7"/>
    <sheet name="BALANCE_SHEET" sheetId="8" r:id="rId8"/>
    <sheet name="QA_CHECKS" sheetId="9" r:id="rId9"/>
  </sheets>
  <definedNames>
    <definedName name="_xlnm._FilterDatabase" localSheetId="6" hidden="1">AP_OPEN!$A$1:$D$9</definedName>
    <definedName name="_xlnm._FilterDatabase" localSheetId="5" hidden="1">AR_OPEN!$A$1:$D$19</definedName>
    <definedName name="_xlnm._FilterDatabase" localSheetId="2" hidden="1">CLEAN_TRANSACTIONS!$A$1:$I$132</definedName>
    <definedName name="_xlnm._FilterDatabase" localSheetId="1" hidden="1">RAW_MESSY!$A$1:$I$141</definedName>
  </definedNames>
  <calcPr calcId="152511"/>
  <fileRecoveryPr repairLoad="1"/>
</workbook>
</file>

<file path=xl/calcChain.xml><?xml version="1.0" encoding="utf-8"?>
<calcChain xmlns="http://schemas.openxmlformats.org/spreadsheetml/2006/main">
  <c r="B11" i="5" l="1"/>
  <c r="B10" i="5"/>
  <c r="B9" i="5"/>
  <c r="B8" i="5"/>
  <c r="B7" i="5"/>
  <c r="B6" i="5"/>
  <c r="B5" i="5"/>
  <c r="B4" i="5"/>
  <c r="B3" i="5"/>
  <c r="B2" i="5"/>
  <c r="B5" i="8"/>
  <c r="B6" i="8" s="1"/>
  <c r="C7" i="9" s="1"/>
  <c r="D7" i="9" s="1"/>
  <c r="E7" i="9" s="1"/>
  <c r="C6" i="9"/>
  <c r="D6" i="9" s="1"/>
  <c r="E6" i="9" s="1"/>
  <c r="C5" i="9"/>
  <c r="D5" i="9" s="1"/>
  <c r="E5" i="9" s="1"/>
  <c r="C4" i="9"/>
  <c r="D4" i="9" s="1"/>
  <c r="E4" i="9" s="1"/>
  <c r="C3" i="9"/>
  <c r="D3" i="9" s="1"/>
  <c r="E3" i="9" s="1"/>
  <c r="C2" i="9"/>
  <c r="D2" i="9" s="1"/>
  <c r="E2" i="9" s="1"/>
  <c r="C13" i="4"/>
  <c r="B13" i="4"/>
  <c r="D13" i="4" s="1"/>
  <c r="E13" i="4" s="1"/>
  <c r="C12" i="4"/>
  <c r="B12" i="4"/>
  <c r="D12" i="4" s="1"/>
  <c r="E12" i="4" s="1"/>
  <c r="C11" i="4"/>
  <c r="B11" i="4"/>
  <c r="D11" i="4" s="1"/>
  <c r="E11" i="4" s="1"/>
  <c r="C10" i="4"/>
  <c r="B10" i="4"/>
  <c r="D10" i="4" s="1"/>
  <c r="E10" i="4" s="1"/>
  <c r="C9" i="4"/>
  <c r="B9" i="4"/>
  <c r="D9" i="4" s="1"/>
  <c r="E9" i="4" s="1"/>
  <c r="C8" i="4"/>
  <c r="B8" i="4"/>
  <c r="D8" i="4" s="1"/>
  <c r="E8" i="4" s="1"/>
  <c r="C7" i="4"/>
  <c r="B7" i="4"/>
  <c r="D7" i="4" s="1"/>
  <c r="E7" i="4" s="1"/>
  <c r="C6" i="4"/>
  <c r="B6" i="4"/>
  <c r="D6" i="4" s="1"/>
  <c r="E6" i="4" s="1"/>
  <c r="C5" i="4"/>
  <c r="B5" i="4"/>
  <c r="D5" i="4" s="1"/>
  <c r="E5" i="4" s="1"/>
  <c r="C4" i="4"/>
  <c r="B4" i="4"/>
  <c r="D4" i="4" s="1"/>
  <c r="E4" i="4" s="1"/>
  <c r="C3" i="4"/>
  <c r="B3" i="4"/>
  <c r="D3" i="4" s="1"/>
  <c r="E3" i="4" s="1"/>
  <c r="C2" i="4"/>
  <c r="C14" i="4" s="1"/>
  <c r="B2" i="4"/>
  <c r="D2" i="4" s="1"/>
  <c r="E2" i="4" l="1"/>
  <c r="D14" i="4"/>
  <c r="E14" i="4" s="1"/>
  <c r="B14" i="4"/>
</calcChain>
</file>

<file path=xl/sharedStrings.xml><?xml version="1.0" encoding="utf-8"?>
<sst xmlns="http://schemas.openxmlformats.org/spreadsheetml/2006/main" count="2121" uniqueCount="537">
  <si>
    <t>NORTHSTAR SPREADSHEET CLEANUP PORTFOLIO DEMO</t>
  </si>
  <si>
    <t>Purpose</t>
  </si>
  <si>
    <t>A fictional, portfolio-ready spreadsheet cleanup exercise based on the FY2025 Northstar financial report supplied by the user.</t>
  </si>
  <si>
    <t>Important</t>
  </si>
  <si>
    <t>All transaction-level sales and expense rows are SYNTHETIC allocations created to match the report's monthly and annual totals. They are not original accounting records.</t>
  </si>
  <si>
    <t>Source report totals</t>
  </si>
  <si>
    <t>Revenue $506,000; expenses $459,006; net operating profit $46,994; open receivables $66,100; open payables $12,470.</t>
  </si>
  <si>
    <t>Workbook tabs</t>
  </si>
  <si>
    <t>RAW_MESSY = intentionally inconsistent raw sample; CLEAN_TRANSACTIONS = normalized deduplicated records; MONTHLY_SUMMARY = monthly totals; P_AND_L = report category totals; AR_OPEN / AP_OPEN = open balances; BALANCE_SHEET = report snapshot; QA_CHECKS = reconciliation tests.</t>
  </si>
  <si>
    <t>Suggested portfolio screenshots</t>
  </si>
  <si>
    <t>Capture RAW_MESSY (top rows), CLEAN_TRANSACTIONS, MONTHLY_SUMMARY chart, and QA_CHECKS. Use them as before/after evidence.</t>
  </si>
  <si>
    <t>Suggested portfolio title</t>
  </si>
  <si>
    <t>Spreadsheet Cleanup &amp; Financial Reporting Demo — FY2025 Fictional Dataset</t>
  </si>
  <si>
    <t>Scope note</t>
  </si>
  <si>
    <t>The clean transaction data is a constructed demonstration designed to reproduce reported totals, not a reconstruction of the company's actual ledger.</t>
  </si>
  <si>
    <t>Amount / Value</t>
  </si>
  <si>
    <t>Date or Txn Date</t>
  </si>
  <si>
    <t>Memo / Notes</t>
  </si>
  <si>
    <t xml:space="preserve">Type </t>
  </si>
  <si>
    <t>Counterparty / Name</t>
  </si>
  <si>
    <t>Status</t>
  </si>
  <si>
    <t>Ref #</t>
  </si>
  <si>
    <t>Category / Account</t>
  </si>
  <si>
    <t>$29,555.00</t>
  </si>
  <si>
    <t>Jan 08, 2025</t>
  </si>
  <si>
    <t xml:space="preserve"> Contractor delivery support </t>
  </si>
  <si>
    <t>Expense</t>
  </si>
  <si>
    <t xml:space="preserve"> Cloudline Software </t>
  </si>
  <si>
    <t>recorded</t>
  </si>
  <si>
    <t>EXP-2501-01</t>
  </si>
  <si>
    <t>COST OF SERVICES</t>
  </si>
  <si>
    <t>6,400</t>
  </si>
  <si>
    <t>01/08/25</t>
  </si>
  <si>
    <t>Business services delivered</t>
  </si>
  <si>
    <t>revenue</t>
  </si>
  <si>
    <t>Delta Design Studio</t>
  </si>
  <si>
    <t>Recorded</t>
  </si>
  <si>
    <t>INV-2501-01</t>
  </si>
  <si>
    <t>Service revenue</t>
  </si>
  <si>
    <t>11-Jan-2025</t>
  </si>
  <si>
    <t>Payroll processing</t>
  </si>
  <si>
    <t>COST</t>
  </si>
  <si>
    <t>Westfield Marketing</t>
  </si>
  <si>
    <t>EXP-2501-02</t>
  </si>
  <si>
    <t>Payroll expense</t>
  </si>
  <si>
    <t>USD 6,400.00</t>
  </si>
  <si>
    <t>2025/01/12</t>
  </si>
  <si>
    <t>Income</t>
  </si>
  <si>
    <t>Evergreen Hospitality</t>
  </si>
  <si>
    <t>INV-2501-02</t>
  </si>
  <si>
    <t>$292.00</t>
  </si>
  <si>
    <t>Jan-14-25</t>
  </si>
  <si>
    <t>Campaign services</t>
  </si>
  <si>
    <t>Pioneer Contractors</t>
  </si>
  <si>
    <t>EXP-2501-03</t>
  </si>
  <si>
    <t>Marketing expense</t>
  </si>
  <si>
    <t>Jan 16, 2025</t>
  </si>
  <si>
    <t xml:space="preserve"> Business services delivered </t>
  </si>
  <si>
    <t>Ironwood Manufacturing</t>
  </si>
  <si>
    <t>INV-2501-03</t>
  </si>
  <si>
    <t>01/17/25</t>
  </si>
  <si>
    <t>Office lease payment</t>
  </si>
  <si>
    <t>BrightPath Office Supply</t>
  </si>
  <si>
    <t>EXP-2501-04</t>
  </si>
  <si>
    <t>Office rent</t>
  </si>
  <si>
    <t>USD 2,000.00</t>
  </si>
  <si>
    <t>20-Jan-2025</t>
  </si>
  <si>
    <t>Cloud platform license</t>
  </si>
  <si>
    <t>Spend</t>
  </si>
  <si>
    <t>Metro Utilities</t>
  </si>
  <si>
    <t>EXP-2501-05</t>
  </si>
  <si>
    <t>SOFTWARE &amp; SUBSCRIPTIONS</t>
  </si>
  <si>
    <t>$6,400.00</t>
  </si>
  <si>
    <t>2025/01/20</t>
  </si>
  <si>
    <t>Revenue</t>
  </si>
  <si>
    <t>Juniper Food Markets</t>
  </si>
  <si>
    <t>INV-2501-04</t>
  </si>
  <si>
    <t>39</t>
  </si>
  <si>
    <t>Jan-23-25</t>
  </si>
  <si>
    <t>Professional services</t>
  </si>
  <si>
    <t>expense</t>
  </si>
  <si>
    <t>Northline IT Services</t>
  </si>
  <si>
    <t>EXP-2501-06</t>
  </si>
  <si>
    <t>General and administrative</t>
  </si>
  <si>
    <t>Jan 24, 2025</t>
  </si>
  <si>
    <t>SALE</t>
  </si>
  <si>
    <t>Apex Retail Group</t>
  </si>
  <si>
    <t>INV-2501-05</t>
  </si>
  <si>
    <t>USD 24,380.00</t>
  </si>
  <si>
    <t>02/08/25</t>
  </si>
  <si>
    <t>Project delivery costs</t>
  </si>
  <si>
    <t>EXP-2502-01</t>
  </si>
  <si>
    <t>Cost of services</t>
  </si>
  <si>
    <t>$7,000.00</t>
  </si>
  <si>
    <t>08-Feb-2025</t>
  </si>
  <si>
    <t>INV-2502-01</t>
  </si>
  <si>
    <t>2,060</t>
  </si>
  <si>
    <t>2025/02/11</t>
  </si>
  <si>
    <t>Monthly payroll</t>
  </si>
  <si>
    <t xml:space="preserve"> Pioneer Contractors </t>
  </si>
  <si>
    <t>EXP-2502-02</t>
  </si>
  <si>
    <t>Feb-12-25</t>
  </si>
  <si>
    <t>INV-2502-02</t>
  </si>
  <si>
    <t>SERVICE REVENUE</t>
  </si>
  <si>
    <t>USD 7.00</t>
  </si>
  <si>
    <t>Feb 14, 2025</t>
  </si>
  <si>
    <t xml:space="preserve"> Campaign services </t>
  </si>
  <si>
    <t>EXP-2502-03</t>
  </si>
  <si>
    <t>02/16/25</t>
  </si>
  <si>
    <t>INV-2502-03</t>
  </si>
  <si>
    <t>5,337</t>
  </si>
  <si>
    <t>17-Feb-2025</t>
  </si>
  <si>
    <t>EXP-2502-04</t>
  </si>
  <si>
    <t>2025/02/20</t>
  </si>
  <si>
    <t>Reporting tools</t>
  </si>
  <si>
    <t>EXP-2502-05</t>
  </si>
  <si>
    <t>Software and subscriptions</t>
  </si>
  <si>
    <t>USD 7,000.00</t>
  </si>
  <si>
    <t>Feb-20-25</t>
  </si>
  <si>
    <t>Blue Oak Medical</t>
  </si>
  <si>
    <t>INV-2502-04</t>
  </si>
  <si>
    <t>$1,699.00</t>
  </si>
  <si>
    <t>Feb 23, 2025</t>
  </si>
  <si>
    <t xml:space="preserve"> General business expense </t>
  </si>
  <si>
    <t>Cloudline Software</t>
  </si>
  <si>
    <t>EXP-2502-06</t>
  </si>
  <si>
    <t>General &amp; administrative</t>
  </si>
  <si>
    <t>7,000</t>
  </si>
  <si>
    <t>02/24/25</t>
  </si>
  <si>
    <t>Frontier Learning Co.</t>
  </si>
  <si>
    <t>INV-2502-05</t>
  </si>
  <si>
    <t>08-Mar-2025</t>
  </si>
  <si>
    <t>Client service materials</t>
  </si>
  <si>
    <t>EXP-2503-01</t>
  </si>
  <si>
    <t>USD 7,400.00</t>
  </si>
  <si>
    <t>2025/03/08</t>
  </si>
  <si>
    <t>INV-2503-01</t>
  </si>
  <si>
    <t>$14,047.00</t>
  </si>
  <si>
    <t>Mar-11-25</t>
  </si>
  <si>
    <t>EXP-2503-02</t>
  </si>
  <si>
    <t>7,400</t>
  </si>
  <si>
    <t>Mar 12, 2025</t>
  </si>
  <si>
    <t>INV-2503-02</t>
  </si>
  <si>
    <t>03/14/25</t>
  </si>
  <si>
    <t>Digital advertising</t>
  </si>
  <si>
    <t xml:space="preserve"> Metro Utilities </t>
  </si>
  <si>
    <t>EXP-2503-03</t>
  </si>
  <si>
    <t>16-Mar-2025</t>
  </si>
  <si>
    <t>INV-2503-03</t>
  </si>
  <si>
    <t>$413.00</t>
  </si>
  <si>
    <t>2025/03/17</t>
  </si>
  <si>
    <t>Workspace rent</t>
  </si>
  <si>
    <t>EXP-2503-04</t>
  </si>
  <si>
    <t>OFFICE RENT</t>
  </si>
  <si>
    <t>1,856</t>
  </si>
  <si>
    <t>Mar-20-25</t>
  </si>
  <si>
    <t>EXP-2503-05</t>
  </si>
  <si>
    <t>Software &amp; subscriptions</t>
  </si>
  <si>
    <t>Mar 20, 2025</t>
  </si>
  <si>
    <t>Granite Property Partners</t>
  </si>
  <si>
    <t>INV-2503-04</t>
  </si>
  <si>
    <t>USD 2,427.00</t>
  </si>
  <si>
    <t>03/23/25</t>
  </si>
  <si>
    <t>Office administration</t>
  </si>
  <si>
    <t>EXP-2503-06</t>
  </si>
  <si>
    <t>$7,400.00</t>
  </si>
  <si>
    <t>24-Mar-2025</t>
  </si>
  <si>
    <t>Harborview Consulting</t>
  </si>
  <si>
    <t>INV-2503-05</t>
  </si>
  <si>
    <t>22,674</t>
  </si>
  <si>
    <t>2025/04/08</t>
  </si>
  <si>
    <t>Contractor delivery support</t>
  </si>
  <si>
    <t>EXP-2504-01</t>
  </si>
  <si>
    <t>Apr-08-25</t>
  </si>
  <si>
    <t>INV-2504-01</t>
  </si>
  <si>
    <t>USD 6,044.00</t>
  </si>
  <si>
    <t>Apr 11, 2025</t>
  </si>
  <si>
    <t xml:space="preserve"> Staff compensation </t>
  </si>
  <si>
    <t>EXP-2504-02</t>
  </si>
  <si>
    <t>PAYROLL EXPENSE</t>
  </si>
  <si>
    <t>$7,600.00</t>
  </si>
  <si>
    <t>04/12/25</t>
  </si>
  <si>
    <t>INV-2504-02</t>
  </si>
  <si>
    <t>220</t>
  </si>
  <si>
    <t>14-Apr-2025</t>
  </si>
  <si>
    <t>Marketing materials</t>
  </si>
  <si>
    <t>EXP-2504-03</t>
  </si>
  <si>
    <t>2025/04/16</t>
  </si>
  <si>
    <t>INV-2504-03</t>
  </si>
  <si>
    <t>USD 2,890.00</t>
  </si>
  <si>
    <t>Apr-17-25</t>
  </si>
  <si>
    <t>EXP-2504-04</t>
  </si>
  <si>
    <t>$958.00</t>
  </si>
  <si>
    <t>Apr 20, 2025</t>
  </si>
  <si>
    <t xml:space="preserve"> Cloud platform license </t>
  </si>
  <si>
    <t>EXP-2504-05</t>
  </si>
  <si>
    <t>7,600</t>
  </si>
  <si>
    <t>04/20/25</t>
  </si>
  <si>
    <t>Keystone Wellness</t>
  </si>
  <si>
    <t>INV-2504-04</t>
  </si>
  <si>
    <t>23-Apr-2025</t>
  </si>
  <si>
    <t>EXP-2504-06</t>
  </si>
  <si>
    <t>GENERAL &amp; ADMINISTRATIVE</t>
  </si>
  <si>
    <t>USD 7,600.00</t>
  </si>
  <si>
    <t>2025/04/24</t>
  </si>
  <si>
    <t>Silverline Systems</t>
  </si>
  <si>
    <t>INV-2504-05</t>
  </si>
  <si>
    <t>$12,115.00</t>
  </si>
  <si>
    <t>May-08-25</t>
  </si>
  <si>
    <t>EXP-2505-01</t>
  </si>
  <si>
    <t>8,000</t>
  </si>
  <si>
    <t>May 08, 2025</t>
  </si>
  <si>
    <t>INV-2505-01</t>
  </si>
  <si>
    <t>05/11/25</t>
  </si>
  <si>
    <t>Staff compensation</t>
  </si>
  <si>
    <t>EXP-2505-02</t>
  </si>
  <si>
    <t>USD 8,000.00</t>
  </si>
  <si>
    <t>12-May-2025</t>
  </si>
  <si>
    <t>INV-2505-02</t>
  </si>
  <si>
    <t>$1,441.00</t>
  </si>
  <si>
    <t>2025/05/14</t>
  </si>
  <si>
    <t>EXP-2505-03</t>
  </si>
  <si>
    <t>May-16-25</t>
  </si>
  <si>
    <t>INV-2505-03</t>
  </si>
  <si>
    <t>May 17, 2025</t>
  </si>
  <si>
    <t xml:space="preserve"> Office lease payment </t>
  </si>
  <si>
    <t>EXP-2505-04</t>
  </si>
  <si>
    <t>USD 750.00</t>
  </si>
  <si>
    <t>05/20/25</t>
  </si>
  <si>
    <t>Software subscription</t>
  </si>
  <si>
    <t>EXP-2505-05</t>
  </si>
  <si>
    <t>$8,000.00</t>
  </si>
  <si>
    <t>20-May-2025</t>
  </si>
  <si>
    <t xml:space="preserve"> Maple Ridge Services </t>
  </si>
  <si>
    <t>INV-2505-04</t>
  </si>
  <si>
    <t>2,659</t>
  </si>
  <si>
    <t>2025/05/23</t>
  </si>
  <si>
    <t>EXP-2505-06</t>
  </si>
  <si>
    <t>May-24-25</t>
  </si>
  <si>
    <t>Summit Field Group</t>
  </si>
  <si>
    <t>INV-2505-05</t>
  </si>
  <si>
    <t>USD 709.00</t>
  </si>
  <si>
    <t>Jun 08, 2025</t>
  </si>
  <si>
    <t xml:space="preserve"> Project delivery costs </t>
  </si>
  <si>
    <t>EXP-2506-01</t>
  </si>
  <si>
    <t>$8,400.00</t>
  </si>
  <si>
    <t>06/08/25</t>
  </si>
  <si>
    <t>INV-2506-01</t>
  </si>
  <si>
    <t>28,550</t>
  </si>
  <si>
    <t>11-Jun-2025</t>
  </si>
  <si>
    <t>EXP-2506-02</t>
  </si>
  <si>
    <t>2025/06/12</t>
  </si>
  <si>
    <t>Maple Ridge Services</t>
  </si>
  <si>
    <t>INV-2506-02</t>
  </si>
  <si>
    <t>USD 1,871.00</t>
  </si>
  <si>
    <t>Jun-14-25</t>
  </si>
  <si>
    <t>EXP-2506-03</t>
  </si>
  <si>
    <t>Jun 16, 2025</t>
  </si>
  <si>
    <t>INV-2506-03</t>
  </si>
  <si>
    <t>6,358</t>
  </si>
  <si>
    <t>06/17/25</t>
  </si>
  <si>
    <t>EXP-2506-04</t>
  </si>
  <si>
    <t>20-Jun-2025</t>
  </si>
  <si>
    <t>EXP-2506-05</t>
  </si>
  <si>
    <t>USD 8,400.00</t>
  </si>
  <si>
    <t>2025/06/20</t>
  </si>
  <si>
    <t>Pinecrest Analytics</t>
  </si>
  <si>
    <t>INV-2506-04</t>
  </si>
  <si>
    <t>$403.00</t>
  </si>
  <si>
    <t>Jun-23-25</t>
  </si>
  <si>
    <t>General business expense</t>
  </si>
  <si>
    <t>EXP-2506-06</t>
  </si>
  <si>
    <t>8,400</t>
  </si>
  <si>
    <t>Jun 24, 2025</t>
  </si>
  <si>
    <t xml:space="preserve"> Cedar Peak Logistics </t>
  </si>
  <si>
    <t>INV-2506-05</t>
  </si>
  <si>
    <t>07/08/25</t>
  </si>
  <si>
    <t>EXP-2507-01</t>
  </si>
  <si>
    <t>USD 8,600.00</t>
  </si>
  <si>
    <t>08-Jul-2025</t>
  </si>
  <si>
    <t>INV-2507-01</t>
  </si>
  <si>
    <t>$35,347.00</t>
  </si>
  <si>
    <t>2025/07/11</t>
  </si>
  <si>
    <t>EXP-2507-02</t>
  </si>
  <si>
    <t>8,600</t>
  </si>
  <si>
    <t>Jul-12-25</t>
  </si>
  <si>
    <t>INV-2507-02</t>
  </si>
  <si>
    <t>Jul 14, 2025</t>
  </si>
  <si>
    <t>EXP-2507-03</t>
  </si>
  <si>
    <t>MARKETING EXPENSE</t>
  </si>
  <si>
    <t>07/16/25</t>
  </si>
  <si>
    <t>Cedar Peak Logistics</t>
  </si>
  <si>
    <t>INV-2507-03</t>
  </si>
  <si>
    <t>$302.00</t>
  </si>
  <si>
    <t>17-Jul-2025</t>
  </si>
  <si>
    <t>EXP-2507-04</t>
  </si>
  <si>
    <t>327</t>
  </si>
  <si>
    <t>2025/07/20</t>
  </si>
  <si>
    <t>EXP-2507-05</t>
  </si>
  <si>
    <t>Jul-20-25</t>
  </si>
  <si>
    <t>INV-2507-04</t>
  </si>
  <si>
    <t>USD 1,121.00</t>
  </si>
  <si>
    <t>Jul 23, 2025</t>
  </si>
  <si>
    <t>EXP-2507-06</t>
  </si>
  <si>
    <t>$8,600.00</t>
  </si>
  <si>
    <t>07/24/25</t>
  </si>
  <si>
    <t>INV-2507-05</t>
  </si>
  <si>
    <t>11,243</t>
  </si>
  <si>
    <t>08-Aug-2025</t>
  </si>
  <si>
    <t>EXP-2508-01</t>
  </si>
  <si>
    <t>2025/08/08</t>
  </si>
  <si>
    <t>INV-2508-01</t>
  </si>
  <si>
    <t>USD 27,208.00</t>
  </si>
  <si>
    <t>Aug-11-25</t>
  </si>
  <si>
    <t>EXP-2508-02</t>
  </si>
  <si>
    <t>$8,900.00</t>
  </si>
  <si>
    <t>Aug 12, 2025</t>
  </si>
  <si>
    <t>INV-2508-02</t>
  </si>
  <si>
    <t>8,900</t>
  </si>
  <si>
    <t>08/16/25</t>
  </si>
  <si>
    <t>INV-2508-03</t>
  </si>
  <si>
    <t>17-Aug-2025</t>
  </si>
  <si>
    <t>EXP-2508-04</t>
  </si>
  <si>
    <t>USD 12.00</t>
  </si>
  <si>
    <t>2025/08/20</t>
  </si>
  <si>
    <t>EXP-2508-05</t>
  </si>
  <si>
    <t>Aug-20-25</t>
  </si>
  <si>
    <t>INV-2508-04</t>
  </si>
  <si>
    <t>415</t>
  </si>
  <si>
    <t>Aug 23, 2025</t>
  </si>
  <si>
    <t>EXP-2508-06</t>
  </si>
  <si>
    <t>08/24/25</t>
  </si>
  <si>
    <t>INV-2508-05</t>
  </si>
  <si>
    <t>USD 8,061.00</t>
  </si>
  <si>
    <t>08-Sep-2025</t>
  </si>
  <si>
    <t>EXP-2509-01</t>
  </si>
  <si>
    <t>$9,200.00</t>
  </si>
  <si>
    <t>2025/09/08</t>
  </si>
  <si>
    <t>INV-2509-01</t>
  </si>
  <si>
    <t>27,146</t>
  </si>
  <si>
    <t>Sep-11-25</t>
  </si>
  <si>
    <t>EXP-2509-02</t>
  </si>
  <si>
    <t>Sep 12, 2025</t>
  </si>
  <si>
    <t>INV-2509-02</t>
  </si>
  <si>
    <t>USD 1,073.00</t>
  </si>
  <si>
    <t>09/14/25</t>
  </si>
  <si>
    <t>EXP-2509-03</t>
  </si>
  <si>
    <t>16-Sep-2025</t>
  </si>
  <si>
    <t>INV-2509-03</t>
  </si>
  <si>
    <t>1,337</t>
  </si>
  <si>
    <t>2025/09/17</t>
  </si>
  <si>
    <t>EXP-2509-04</t>
  </si>
  <si>
    <t>Sep-20-25</t>
  </si>
  <si>
    <t>EXP-2509-05</t>
  </si>
  <si>
    <t>USD 9,200.00</t>
  </si>
  <si>
    <t>Sep 20, 2025</t>
  </si>
  <si>
    <t>INV-2509-04</t>
  </si>
  <si>
    <t>$582.00</t>
  </si>
  <si>
    <t>09/23/25</t>
  </si>
  <si>
    <t>EXP-2509-06</t>
  </si>
  <si>
    <t>9,200</t>
  </si>
  <si>
    <t>24-Sep-2025</t>
  </si>
  <si>
    <t>INV-2509-05</t>
  </si>
  <si>
    <t>2025/10/08</t>
  </si>
  <si>
    <t>EXP-2510-01</t>
  </si>
  <si>
    <t>USD 9,500.00</t>
  </si>
  <si>
    <t>Oct-08-25</t>
  </si>
  <si>
    <t>INV-2510-01</t>
  </si>
  <si>
    <t>$7,321.00</t>
  </si>
  <si>
    <t>Oct 11, 2025</t>
  </si>
  <si>
    <t xml:space="preserve"> Monthly payroll </t>
  </si>
  <si>
    <t>EXP-2510-02</t>
  </si>
  <si>
    <t>9,500</t>
  </si>
  <si>
    <t>10/12/25</t>
  </si>
  <si>
    <t>INV-2510-02</t>
  </si>
  <si>
    <t>14-Oct-2025</t>
  </si>
  <si>
    <t>EXP-2510-03</t>
  </si>
  <si>
    <t>2025/10/16</t>
  </si>
  <si>
    <t>INV-2510-03</t>
  </si>
  <si>
    <t>$1,471.00</t>
  </si>
  <si>
    <t>Oct-17-25</t>
  </si>
  <si>
    <t>EXP-2510-04</t>
  </si>
  <si>
    <t>6</t>
  </si>
  <si>
    <t>Oct 20, 2025</t>
  </si>
  <si>
    <t>EXP-2510-05</t>
  </si>
  <si>
    <t>10/20/25</t>
  </si>
  <si>
    <t>INV-2510-04</t>
  </si>
  <si>
    <t>USD 145.00</t>
  </si>
  <si>
    <t>23-Oct-2025</t>
  </si>
  <si>
    <t>EXP-2510-06</t>
  </si>
  <si>
    <t>$9,500.00</t>
  </si>
  <si>
    <t>2025/10/24</t>
  </si>
  <si>
    <t>INV-2510-05</t>
  </si>
  <si>
    <t>3,269</t>
  </si>
  <si>
    <t>Nov-08-25</t>
  </si>
  <si>
    <t>EXP-2511-01</t>
  </si>
  <si>
    <t>Nov 08, 2025</t>
  </si>
  <si>
    <t>INV-2511-01</t>
  </si>
  <si>
    <t>USD 13,147.00</t>
  </si>
  <si>
    <t>11/11/25</t>
  </si>
  <si>
    <t>EXP-2511-02</t>
  </si>
  <si>
    <t>$9,800.00</t>
  </si>
  <si>
    <t>12-Nov-2025</t>
  </si>
  <si>
    <t>INV-2511-02</t>
  </si>
  <si>
    <t>819</t>
  </si>
  <si>
    <t>2025/11/14</t>
  </si>
  <si>
    <t>EXP-2511-03</t>
  </si>
  <si>
    <t>Nov-16-25</t>
  </si>
  <si>
    <t>INV-2511-03</t>
  </si>
  <si>
    <t>USD 21,749.00</t>
  </si>
  <si>
    <t>Nov 17, 2025</t>
  </si>
  <si>
    <t>EXP-2511-04</t>
  </si>
  <si>
    <t>$2,299.00</t>
  </si>
  <si>
    <t>11/20/25</t>
  </si>
  <si>
    <t>EXP-2511-05</t>
  </si>
  <si>
    <t>9,800</t>
  </si>
  <si>
    <t>20-Nov-2025</t>
  </si>
  <si>
    <t xml:space="preserve"> Harborview Consulting </t>
  </si>
  <si>
    <t>INV-2511-04</t>
  </si>
  <si>
    <t>2025/11/23</t>
  </si>
  <si>
    <t>EXP-2511-06</t>
  </si>
  <si>
    <t>USD 9,800.00</t>
  </si>
  <si>
    <t>Nov-24-25</t>
  </si>
  <si>
    <t>INV-2511-05</t>
  </si>
  <si>
    <t>$15,859.00</t>
  </si>
  <si>
    <t>Dec 08, 2025</t>
  </si>
  <si>
    <t>EXP-2512-01</t>
  </si>
  <si>
    <t>10,400</t>
  </si>
  <si>
    <t>12/08/25</t>
  </si>
  <si>
    <t>INV-2512-01</t>
  </si>
  <si>
    <t>11-Dec-2025</t>
  </si>
  <si>
    <t>EXP-2512-02</t>
  </si>
  <si>
    <t>USD 10,400.00</t>
  </si>
  <si>
    <t>2025/12/12</t>
  </si>
  <si>
    <t>INV-2512-02</t>
  </si>
  <si>
    <t>$1,381.00</t>
  </si>
  <si>
    <t>Dec-14-25</t>
  </si>
  <si>
    <t>EXP-2512-03</t>
  </si>
  <si>
    <t>Dec 16, 2025</t>
  </si>
  <si>
    <t>INV-2512-03</t>
  </si>
  <si>
    <t>12/17/25</t>
  </si>
  <si>
    <t>EXP-2512-04</t>
  </si>
  <si>
    <t>USD 4,233.00</t>
  </si>
  <si>
    <t>20-Dec-2025</t>
  </si>
  <si>
    <t>EXP-2512-05</t>
  </si>
  <si>
    <t>$10,400.00</t>
  </si>
  <si>
    <t>2025/12/20</t>
  </si>
  <si>
    <t>INV-2512-04</t>
  </si>
  <si>
    <t>11,102</t>
  </si>
  <si>
    <t>Dec-23-25</t>
  </si>
  <si>
    <t>EXP-2512-06</t>
  </si>
  <si>
    <t>Dec 24, 2025</t>
  </si>
  <si>
    <t>INV-2512-05</t>
  </si>
  <si>
    <t>01/16/25</t>
  </si>
  <si>
    <t>$1,856.00</t>
  </si>
  <si>
    <t>03/20/25</t>
  </si>
  <si>
    <t>$28,550.00</t>
  </si>
  <si>
    <t>06/11/25</t>
  </si>
  <si>
    <t>09/08/25</t>
  </si>
  <si>
    <t>Transaction Date</t>
  </si>
  <si>
    <t>Month</t>
  </si>
  <si>
    <t>Type</t>
  </si>
  <si>
    <t>Counterparty</t>
  </si>
  <si>
    <t>Category</t>
  </si>
  <si>
    <t>Description</t>
  </si>
  <si>
    <t>Amount (USD)</t>
  </si>
  <si>
    <t>Reference</t>
  </si>
  <si>
    <t>Record Status</t>
  </si>
  <si>
    <t>Jan</t>
  </si>
  <si>
    <t>Included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</si>
  <si>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</si>
  <si>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</si>
  <si>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</si>
  <si>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</si>
  <si>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</si>
  <si>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</si>
  <si>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</si>
  <si>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</si>
  <si>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</si>
  <si>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</si>
  <si>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</si>
  <si>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Revenue (USD)</t>
  </si>
  <si>
    <t>Expenses (USD)</t>
  </si>
  <si>
    <t>Net Profit (USD)</t>
  </si>
  <si>
    <t>Profit Margin</t>
  </si>
  <si>
    <t>FY2025 Total</t>
  </si>
  <si>
    <t>Account</t>
  </si>
  <si>
    <t>FY2025 (USD)</t>
  </si>
  <si>
    <t>Share of Revenue</t>
  </si>
  <si>
    <t>Net operating profit</t>
  </si>
  <si>
    <t>Customer</t>
  </si>
  <si>
    <t>Due Date (as reported)</t>
  </si>
  <si>
    <t>Open Balance (USD)</t>
  </si>
  <si>
    <t>Overdue</t>
  </si>
  <si>
    <t>Supplier</t>
  </si>
  <si>
    <t>Metric</t>
  </si>
  <si>
    <t>FY2025 / As of Dec 31, 2025 (USD)</t>
  </si>
  <si>
    <t>Total assets</t>
  </si>
  <si>
    <t>Total liabilities</t>
  </si>
  <si>
    <t>Total equity</t>
  </si>
  <si>
    <t>Liabilities + equity</t>
  </si>
  <si>
    <t>Balance difference</t>
  </si>
  <si>
    <t>Report balance difference</t>
  </si>
  <si>
    <t>Check</t>
  </si>
  <si>
    <t>Expected / Source Value</t>
  </si>
  <si>
    <t>Calculated / Detail Value</t>
  </si>
  <si>
    <t>Difference</t>
  </si>
  <si>
    <t>Explanation</t>
  </si>
  <si>
    <t>FY2025 revenue</t>
  </si>
  <si>
    <t>Synthetic clean transaction lines must sum to report revenue.</t>
  </si>
  <si>
    <t>FY2025 expenses</t>
  </si>
  <si>
    <t>Synthetic clean transaction lines must sum to report expenses.</t>
  </si>
  <si>
    <t>FY2025 net profit</t>
  </si>
  <si>
    <t>Revenue less expenses.</t>
  </si>
  <si>
    <t>Open payables</t>
  </si>
  <si>
    <t>Listed supplier bills match the report headline.</t>
  </si>
  <si>
    <t>Open receivables</t>
  </si>
  <si>
    <t>Listed customer balances should match the report headline.</t>
  </si>
  <si>
    <t>Balance sheet equation</t>
  </si>
  <si>
    <t>Assets should equal liabilities plus equity.</t>
  </si>
  <si>
    <t>Cash and cash equivalents</t>
  </si>
  <si>
    <t>Accounts receivable</t>
  </si>
  <si>
    <t>Inventory / supplies</t>
  </si>
  <si>
    <t>Prepaid expenses</t>
  </si>
  <si>
    <t>Equipment, net</t>
  </si>
  <si>
    <t>Other assets</t>
  </si>
  <si>
    <t>Accounts payable</t>
  </si>
  <si>
    <t>Accrued payroll</t>
  </si>
  <si>
    <t>Taxes payable</t>
  </si>
  <si>
    <t>Deferred revenue</t>
  </si>
  <si>
    <t>Other liabilities</t>
  </si>
  <si>
    <t>Owner capital</t>
  </si>
  <si>
    <t>Retained earnings</t>
  </si>
  <si>
    <t>Total liabilities + equity</t>
  </si>
  <si>
    <t>Assets − liabilities − equity</t>
  </si>
  <si>
    <t>Total revenue</t>
  </si>
  <si>
    <t>Total operating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</si>
</sst>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$&quot;#,##0_);[Red]\(&quot;$&quot;#,##0\)"/>
    <numFmt numFmtId="164" formatCode="yyyy\-mm\-dd"/>
    <numFmt numFmtId="165" formatCode="\$#,##0.00;[Red]\-\$#,##0.00"/>
    <numFmt numFmtId="166" formatCode="mmm"/>
    <numFmt numFmtId="167" formatCode="0.0%"/>
    <numFmt numFmtId="168" formatCode="mmm\ d\,\ yyyy"/>
    <numFmt numFmtId="169" formatCode="\$#,##0.00"/>
  </numFmts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1F4E78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3" borderId="0" xfId="0" applyFont="1" applyFill="1"/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vertical="center" wrapText="1"/>
    </xf>
    <xf numFmtId="0" fontId="0" fillId="0" borderId="0" xfId="0" applyAlignment="1">
      <alignment vertical="top"/>
    </xf>
    <xf numFmtId="0" fontId="0" fillId="4" borderId="0" xfId="0" applyFill="1" applyAlignment="1">
      <alignment vertical="top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/>
    </xf>
    <xf numFmtId="0" fontId="0" fillId="5" borderId="0" xfId="0" applyFill="1" applyAlignment="1">
      <alignment vertical="top" wrapText="1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  <xf numFmtId="166" fontId="0" fillId="0" borderId="0" xfId="0" applyNumberFormat="1"/>
    <xf numFmtId="165" fontId="0" fillId="0" borderId="0" xfId="0" applyNumberFormat="1"/>
    <xf numFmtId="167" fontId="0" fillId="0" borderId="0" xfId="0" applyNumberFormat="1"/>
    <xf numFmtId="0" fontId="4" fillId="3" borderId="0" xfId="0" applyFont="1" applyFill="1"/>
    <xf numFmtId="168" fontId="0" fillId="0" borderId="0" xfId="0" applyNumberFormat="1"/>
    <xf numFmtId="169" fontId="0" fillId="0" borderId="0" xfId="0" applyNumberFormat="1"/>
    <xf numFmtId="165" fontId="0" fillId="3" borderId="0" xfId="0" applyNumberFormat="1" applyFill="1"/>
    <xf numFmtId="0" fontId="0" fillId="6" borderId="0" xfId="0" applyFill="1"/>
    <xf numFmtId="0" fontId="1" fillId="2" borderId="0" xfId="0" applyFont="1" applyFill="1"/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0" fontId="5" fillId="0" borderId="0" xfId="0" applyFont="1" applyAlignment="1">
      <alignment vertical="center" wrapText="1"/>
    </xf>
    <xf numFmtId="6" fontId="5" fillId="0" borderId="0" xfId="0" applyNumberFormat="1" applyFont="1" applyAlignment="1">
      <alignment vertical="center" wrapText="1"/>
    </xf>
    <xf numFmtId="165" fontId="5" fillId="0" borderId="0" xfId="0" applyNumberFormat="1" applyFont="1"/>
    <xf numFmtId="167" fontId="5" fillId="0" borderId="0" xfId="0" applyNumberFormat="1" applyFont="1"/>
    <xf numFmtId="0" fontId="6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FY2025 Monthly Revenue vs Expenses</a:t>
            </a:r>
          </a:p>
        </c:rich>
      </c:tx>
      <c:layout/>
      <c:overlay val="1"/>
    </c:title>
    <c:autoTitleDeleted val="0"/>
    <c:plotArea>
      <c:layout>
        <c:manualLayout>
          <c:layoutTarget val="inner"/>
          <c:xMode val="edge"/>
          <c:yMode val="edge"/>
          <c:x val="0"/>
          <c:y val="9.7013888888888886E-2"/>
          <c:w val="0.95149305555555552"/>
          <c:h val="0.9029861111111111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MONTHLY_SUMMARY!$B$1</c:f>
              <c:strCache>
                <c:ptCount val="1"/>
                <c:pt idx="0">
                  <c:v>Revenue (USD)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MONTHLY_SUMMARY!$A$2:$A$13</c:f>
              <c:numCache>
                <c:formatCode>mmm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MONTHLY_SUMMARY!$B$2:$B$13</c:f>
              <c:numCache>
                <c:formatCode>\$#,##0.00;[Red]\-\$#,##0.00</c:formatCode>
                <c:ptCount val="12"/>
                <c:pt idx="0">
                  <c:v>32000</c:v>
                </c:pt>
                <c:pt idx="1">
                  <c:v>35000</c:v>
                </c:pt>
                <c:pt idx="2">
                  <c:v>37000</c:v>
                </c:pt>
                <c:pt idx="3">
                  <c:v>38000</c:v>
                </c:pt>
                <c:pt idx="4">
                  <c:v>40000</c:v>
                </c:pt>
                <c:pt idx="5">
                  <c:v>42000</c:v>
                </c:pt>
                <c:pt idx="6">
                  <c:v>43000</c:v>
                </c:pt>
                <c:pt idx="7">
                  <c:v>44500</c:v>
                </c:pt>
                <c:pt idx="8">
                  <c:v>46000</c:v>
                </c:pt>
                <c:pt idx="9">
                  <c:v>47500</c:v>
                </c:pt>
                <c:pt idx="10">
                  <c:v>49000</c:v>
                </c:pt>
                <c:pt idx="11">
                  <c:v>52000</c:v>
                </c:pt>
              </c:numCache>
            </c:numRef>
          </c:val>
        </c:ser>
        <c:ser>
          <c:idx val="1"/>
          <c:order val="1"/>
          <c:tx>
            <c:strRef>
              <c:f>MONTHLY_SUMMARY!$C$1</c:f>
              <c:strCache>
                <c:ptCount val="1"/>
                <c:pt idx="0">
                  <c:v>Expenses (USD)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MONTHLY_SUMMARY!$A$2:$A$13</c:f>
              <c:numCache>
                <c:formatCode>mmm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MONTHLY_SUMMARY!$C$2:$C$13</c:f>
              <c:numCache>
                <c:formatCode>\$#,##0.00;[Red]\-\$#,##0.00</c:formatCode>
                <c:ptCount val="12"/>
                <c:pt idx="0">
                  <c:v>33130</c:v>
                </c:pt>
                <c:pt idx="1">
                  <c:v>34635</c:v>
                </c:pt>
                <c:pt idx="2">
                  <c:v>35149</c:v>
                </c:pt>
                <c:pt idx="3">
                  <c:v>36604</c:v>
                </c:pt>
                <c:pt idx="4">
                  <c:v>36475</c:v>
                </c:pt>
                <c:pt idx="5">
                  <c:v>37982</c:v>
                </c:pt>
                <c:pt idx="6">
                  <c:v>38511</c:v>
                </c:pt>
                <c:pt idx="7">
                  <c:v>39806</c:v>
                </c:pt>
                <c:pt idx="8">
                  <c:v>39715</c:v>
                </c:pt>
                <c:pt idx="9">
                  <c:v>40810</c:v>
                </c:pt>
                <c:pt idx="10">
                  <c:v>42073</c:v>
                </c:pt>
                <c:pt idx="11">
                  <c:v>44116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41660608"/>
        <c:axId val="-41660064"/>
      </c:barChart>
      <c:dateAx>
        <c:axId val="-41660608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  <c:overlay val="1"/>
        </c:title>
        <c:numFmt formatCode="mmm" sourceLinked="1"/>
        <c:majorTickMark val="none"/>
        <c:minorTickMark val="none"/>
        <c:tickLblPos val="nextTo"/>
        <c:crossAx val="-41660064"/>
        <c:crosses val="autoZero"/>
        <c:auto val="1"/>
        <c:lblOffset val="100"/>
        <c:baseTimeUnit val="months"/>
      </c:dateAx>
      <c:valAx>
        <c:axId val="-41660064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</a:t>
                </a:r>
              </a:p>
            </c:rich>
          </c:tx>
          <c:layout>
            <c:manualLayout>
              <c:xMode val="edge"/>
              <c:yMode val="edge"/>
              <c:x val="0"/>
              <c:y val="0.58034513888888883"/>
            </c:manualLayout>
          </c:layout>
          <c:overlay val="1"/>
        </c:title>
        <c:numFmt formatCode="\$#,##0.00;[Red]\-\$#,##0.00" sourceLinked="1"/>
        <c:majorTickMark val="none"/>
        <c:minorTickMark val="none"/>
        <c:tickLblPos val="nextTo"/>
        <c:crossAx val="-41660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606093749999985"/>
          <c:y val="8.0710763888888884E-2"/>
          <c:w val="0.17630017361111111"/>
          <c:h val="0.15948124999999999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50801</xdr:colOff>
      <xdr:row>15</xdr:row>
      <xdr:rowOff>76200</xdr:rowOff>
    </xdr:from>
    <xdr:ext cx="576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"/>
  <sheetViews>
    <sheetView zoomScale="90" workbookViewId="0">
      <pane ySplit="1" topLeftCell="A2" activePane="bottomLeft" state="frozen"/>
      <selection pane="bottomLeft" activeCell="B5" sqref="B5"/>
    </sheetView>
  </sheetViews>
  <sheetFormatPr defaultRowHeight="14.4" x14ac:dyDescent="0.3"/>
  <cols>
    <col min="1" max="1" width="28" customWidth="1"/>
    <col min="2" max="2" width="115" customWidth="1"/>
  </cols>
  <sheetData>
    <row r="1" spans="1:6" ht="21" x14ac:dyDescent="0.4">
      <c r="A1" s="20" t="s">
        <v>0</v>
      </c>
      <c r="B1" s="21"/>
      <c r="C1" s="21"/>
      <c r="D1" s="21"/>
      <c r="E1" s="21"/>
      <c r="F1" s="21"/>
    </row>
    <row r="2" spans="1:6" ht="40.049999999999997" customHeight="1" x14ac:dyDescent="0.3">
      <c r="A2" s="1" t="s">
        <v>1</v>
      </c>
      <c r="B2" s="2" t="s">
        <v>2</v>
      </c>
    </row>
    <row r="3" spans="1:6" ht="40.049999999999997" customHeight="1" x14ac:dyDescent="0.3">
      <c r="A3" s="1" t="s">
        <v>3</v>
      </c>
      <c r="B3" s="2" t="s">
        <v>4</v>
      </c>
    </row>
    <row r="4" spans="1:6" ht="40.049999999999997" customHeight="1" x14ac:dyDescent="0.3">
      <c r="A4" s="1" t="s">
        <v>5</v>
      </c>
      <c r="B4" s="2" t="s">
        <v>6</v>
      </c>
    </row>
    <row r="5" spans="1:6" ht="40.049999999999997" customHeight="1" x14ac:dyDescent="0.3">
      <c r="A5" s="1" t="s">
        <v>7</v>
      </c>
      <c r="B5" s="2" t="s">
        <v>8</v>
      </c>
    </row>
    <row r="6" spans="1:6" ht="40.049999999999997" customHeight="1" x14ac:dyDescent="0.3">
      <c r="A6" s="1" t="s">
        <v>9</v>
      </c>
      <c r="B6" s="2" t="s">
        <v>10</v>
      </c>
    </row>
    <row r="7" spans="1:6" ht="40.049999999999997" customHeight="1" x14ac:dyDescent="0.3">
      <c r="A7" s="1" t="s">
        <v>11</v>
      </c>
      <c r="B7" s="2" t="s">
        <v>12</v>
      </c>
    </row>
    <row r="8" spans="1:6" ht="40.049999999999997" customHeight="1" x14ac:dyDescent="0.3">
      <c r="A8" s="1" t="s">
        <v>13</v>
      </c>
      <c r="B8" s="2" t="s">
        <v>14</v>
      </c>
    </row>
  </sheetData>
  <mergeCells count="1">
    <mergeCell ref="A1:F1"/>
  </mergeCells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41"/>
  <sheetViews>
    <sheetView showGridLines="0" zoomScale="73" zoomScaleNormal="73" workbookViewId="0">
      <pane ySplit="1" topLeftCell="A26" activePane="bottomLeft" state="frozen"/>
      <selection pane="bottomLeft" activeCell="J10" sqref="J10"/>
    </sheetView>
  </sheetViews>
  <sheetFormatPr defaultRowHeight="14.4" x14ac:dyDescent="0.3"/>
  <cols>
    <col min="1" max="1" width="16" customWidth="1"/>
    <col min="2" max="2" width="18" customWidth="1"/>
    <col min="3" max="3" width="31" customWidth="1"/>
    <col min="4" max="4" width="12" customWidth="1"/>
    <col min="5" max="5" width="27" customWidth="1"/>
    <col min="6" max="6" width="12" customWidth="1"/>
    <col min="7" max="7" width="13" customWidth="1"/>
    <col min="8" max="8" width="28" customWidth="1"/>
    <col min="9" max="9" width="42" customWidth="1"/>
  </cols>
  <sheetData>
    <row r="1" spans="1:9" s="22" customFormat="1" ht="30" customHeight="1" x14ac:dyDescent="0.3">
      <c r="A1" s="22" t="s">
        <v>15</v>
      </c>
      <c r="B1" s="22" t="s">
        <v>16</v>
      </c>
      <c r="C1" s="22" t="s">
        <v>17</v>
      </c>
      <c r="D1" s="22" t="s">
        <v>18</v>
      </c>
      <c r="E1" s="22" t="s">
        <v>19</v>
      </c>
      <c r="F1" s="22" t="s">
        <v>20</v>
      </c>
      <c r="G1" s="22" t="s">
        <v>21</v>
      </c>
      <c r="H1" s="22" t="s">
        <v>22</v>
      </c>
    </row>
    <row r="2" spans="1:9" x14ac:dyDescent="0.3">
      <c r="A2" s="4" t="s">
        <v>23</v>
      </c>
      <c r="B2" s="4" t="s">
        <v>24</v>
      </c>
      <c r="C2" s="2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30</v>
      </c>
      <c r="I2" s="2"/>
    </row>
    <row r="3" spans="1:9" x14ac:dyDescent="0.3">
      <c r="A3" s="4" t="s">
        <v>31</v>
      </c>
      <c r="B3" s="4" t="s">
        <v>32</v>
      </c>
      <c r="C3" s="2" t="s">
        <v>33</v>
      </c>
      <c r="D3" s="4" t="s">
        <v>34</v>
      </c>
      <c r="E3" s="4" t="s">
        <v>35</v>
      </c>
      <c r="F3" s="4" t="s">
        <v>36</v>
      </c>
      <c r="G3" s="4" t="s">
        <v>37</v>
      </c>
      <c r="H3" s="4" t="s">
        <v>38</v>
      </c>
      <c r="I3" s="2"/>
    </row>
    <row r="4" spans="1:9" x14ac:dyDescent="0.3">
      <c r="A4" s="4">
        <v>1039</v>
      </c>
      <c r="B4" s="4" t="s">
        <v>39</v>
      </c>
      <c r="C4" s="2" t="s">
        <v>40</v>
      </c>
      <c r="D4" s="4" t="s">
        <v>41</v>
      </c>
      <c r="E4" s="4" t="s">
        <v>42</v>
      </c>
      <c r="F4" s="4" t="s">
        <v>36</v>
      </c>
      <c r="G4" s="4" t="s">
        <v>43</v>
      </c>
      <c r="H4" s="4" t="s">
        <v>44</v>
      </c>
      <c r="I4" s="2"/>
    </row>
    <row r="5" spans="1:9" x14ac:dyDescent="0.3">
      <c r="A5" s="4" t="s">
        <v>45</v>
      </c>
      <c r="B5" s="4" t="s">
        <v>46</v>
      </c>
      <c r="C5" s="2" t="s">
        <v>33</v>
      </c>
      <c r="D5" s="4" t="s">
        <v>47</v>
      </c>
      <c r="E5" s="4" t="s">
        <v>48</v>
      </c>
      <c r="F5" s="4" t="s">
        <v>36</v>
      </c>
      <c r="G5" s="4" t="s">
        <v>49</v>
      </c>
      <c r="H5" s="4" t="s">
        <v>38</v>
      </c>
      <c r="I5" s="2"/>
    </row>
    <row r="6" spans="1:9" x14ac:dyDescent="0.3">
      <c r="A6" s="4" t="s">
        <v>50</v>
      </c>
      <c r="B6" s="4" t="s">
        <v>51</v>
      </c>
      <c r="C6" s="2" t="s">
        <v>52</v>
      </c>
      <c r="D6" s="4" t="s">
        <v>26</v>
      </c>
      <c r="E6" s="4" t="s">
        <v>53</v>
      </c>
      <c r="F6" s="4" t="s">
        <v>36</v>
      </c>
      <c r="G6" s="4" t="s">
        <v>54</v>
      </c>
      <c r="H6" s="4" t="s">
        <v>55</v>
      </c>
      <c r="I6" s="2"/>
    </row>
    <row r="7" spans="1:9" x14ac:dyDescent="0.3">
      <c r="A7" s="4" t="s">
        <v>31</v>
      </c>
      <c r="B7" s="4" t="s">
        <v>56</v>
      </c>
      <c r="C7" s="2" t="s">
        <v>57</v>
      </c>
      <c r="D7" s="4" t="s">
        <v>34</v>
      </c>
      <c r="E7" s="4" t="s">
        <v>58</v>
      </c>
      <c r="F7" s="4" t="s">
        <v>36</v>
      </c>
      <c r="G7" s="4" t="s">
        <v>59</v>
      </c>
      <c r="H7" s="4" t="s">
        <v>38</v>
      </c>
      <c r="I7" s="2"/>
    </row>
    <row r="8" spans="1:9" x14ac:dyDescent="0.3">
      <c r="A8" s="4">
        <v>205</v>
      </c>
      <c r="B8" s="4" t="s">
        <v>60</v>
      </c>
      <c r="C8" s="2" t="s">
        <v>61</v>
      </c>
      <c r="D8" s="4" t="s">
        <v>41</v>
      </c>
      <c r="E8" s="4" t="s">
        <v>62</v>
      </c>
      <c r="F8" s="4" t="s">
        <v>28</v>
      </c>
      <c r="G8" s="4" t="s">
        <v>63</v>
      </c>
      <c r="H8" s="4" t="s">
        <v>64</v>
      </c>
      <c r="I8" s="2"/>
    </row>
    <row r="9" spans="1:9" x14ac:dyDescent="0.3">
      <c r="A9" s="4" t="s">
        <v>65</v>
      </c>
      <c r="B9" s="4" t="s">
        <v>66</v>
      </c>
      <c r="C9" s="2" t="s">
        <v>67</v>
      </c>
      <c r="D9" s="4" t="s">
        <v>68</v>
      </c>
      <c r="E9" s="4" t="s">
        <v>69</v>
      </c>
      <c r="F9" s="4" t="s">
        <v>36</v>
      </c>
      <c r="G9" s="4" t="s">
        <v>70</v>
      </c>
      <c r="H9" s="4" t="s">
        <v>71</v>
      </c>
      <c r="I9" s="2"/>
    </row>
    <row r="10" spans="1:9" x14ac:dyDescent="0.3">
      <c r="A10" s="4" t="s">
        <v>72</v>
      </c>
      <c r="B10" s="4" t="s">
        <v>73</v>
      </c>
      <c r="C10" s="2" t="s">
        <v>33</v>
      </c>
      <c r="D10" s="4" t="s">
        <v>74</v>
      </c>
      <c r="E10" s="4" t="s">
        <v>75</v>
      </c>
      <c r="F10" s="4" t="s">
        <v>36</v>
      </c>
      <c r="G10" s="4" t="s">
        <v>76</v>
      </c>
      <c r="H10" s="4" t="s">
        <v>38</v>
      </c>
      <c r="I10" s="2"/>
    </row>
    <row r="11" spans="1:9" x14ac:dyDescent="0.3">
      <c r="A11" s="4" t="s">
        <v>77</v>
      </c>
      <c r="B11" s="4" t="s">
        <v>78</v>
      </c>
      <c r="C11" s="2" t="s">
        <v>79</v>
      </c>
      <c r="D11" s="4" t="s">
        <v>80</v>
      </c>
      <c r="E11" s="4" t="s">
        <v>81</v>
      </c>
      <c r="F11" s="4" t="s">
        <v>36</v>
      </c>
      <c r="G11" s="4" t="s">
        <v>82</v>
      </c>
      <c r="H11" s="4" t="s">
        <v>83</v>
      </c>
      <c r="I11" s="2"/>
    </row>
    <row r="12" spans="1:9" x14ac:dyDescent="0.3">
      <c r="A12" s="4">
        <v>6400</v>
      </c>
      <c r="B12" s="4" t="s">
        <v>84</v>
      </c>
      <c r="C12" s="2" t="s">
        <v>57</v>
      </c>
      <c r="D12" s="4" t="s">
        <v>85</v>
      </c>
      <c r="E12" s="4" t="s">
        <v>86</v>
      </c>
      <c r="F12" s="4" t="s">
        <v>36</v>
      </c>
      <c r="G12" s="4" t="s">
        <v>87</v>
      </c>
      <c r="H12" s="4" t="s">
        <v>38</v>
      </c>
      <c r="I12" s="2"/>
    </row>
    <row r="13" spans="1:9" x14ac:dyDescent="0.3">
      <c r="A13" s="4" t="s">
        <v>88</v>
      </c>
      <c r="B13" s="4" t="s">
        <v>89</v>
      </c>
      <c r="C13" s="2" t="s">
        <v>90</v>
      </c>
      <c r="D13" s="4" t="s">
        <v>68</v>
      </c>
      <c r="E13" s="4" t="s">
        <v>42</v>
      </c>
      <c r="F13" s="4" t="s">
        <v>36</v>
      </c>
      <c r="G13" s="4" t="s">
        <v>91</v>
      </c>
      <c r="H13" s="4" t="s">
        <v>92</v>
      </c>
      <c r="I13" s="2"/>
    </row>
    <row r="14" spans="1:9" x14ac:dyDescent="0.3">
      <c r="A14" s="4" t="s">
        <v>93</v>
      </c>
      <c r="B14" s="4" t="s">
        <v>94</v>
      </c>
      <c r="C14" s="2" t="s">
        <v>33</v>
      </c>
      <c r="D14" s="4" t="s">
        <v>74</v>
      </c>
      <c r="E14" s="4" t="s">
        <v>58</v>
      </c>
      <c r="F14" s="4" t="s">
        <v>28</v>
      </c>
      <c r="G14" s="4" t="s">
        <v>95</v>
      </c>
      <c r="H14" s="4" t="s">
        <v>38</v>
      </c>
      <c r="I14" s="2"/>
    </row>
    <row r="15" spans="1:9" x14ac:dyDescent="0.3">
      <c r="A15" s="4" t="s">
        <v>96</v>
      </c>
      <c r="B15" s="4" t="s">
        <v>97</v>
      </c>
      <c r="C15" s="2" t="s">
        <v>98</v>
      </c>
      <c r="D15" s="4" t="s">
        <v>80</v>
      </c>
      <c r="E15" s="4" t="s">
        <v>99</v>
      </c>
      <c r="F15" s="4" t="s">
        <v>36</v>
      </c>
      <c r="G15" s="4" t="s">
        <v>100</v>
      </c>
      <c r="H15" s="4" t="s">
        <v>44</v>
      </c>
      <c r="I15" s="2"/>
    </row>
    <row r="16" spans="1:9" x14ac:dyDescent="0.3">
      <c r="A16" s="4">
        <v>7000</v>
      </c>
      <c r="B16" s="4" t="s">
        <v>101</v>
      </c>
      <c r="C16" s="2" t="s">
        <v>33</v>
      </c>
      <c r="D16" s="4" t="s">
        <v>85</v>
      </c>
      <c r="E16" s="4" t="s">
        <v>75</v>
      </c>
      <c r="F16" s="4" t="s">
        <v>36</v>
      </c>
      <c r="G16" s="4" t="s">
        <v>102</v>
      </c>
      <c r="H16" s="4" t="s">
        <v>103</v>
      </c>
      <c r="I16" s="2"/>
    </row>
    <row r="17" spans="1:9" x14ac:dyDescent="0.3">
      <c r="A17" s="4" t="s">
        <v>104</v>
      </c>
      <c r="B17" s="4" t="s">
        <v>105</v>
      </c>
      <c r="C17" s="2" t="s">
        <v>106</v>
      </c>
      <c r="D17" s="4" t="s">
        <v>68</v>
      </c>
      <c r="E17" s="4" t="s">
        <v>62</v>
      </c>
      <c r="F17" s="4" t="s">
        <v>36</v>
      </c>
      <c r="G17" s="4" t="s">
        <v>107</v>
      </c>
      <c r="H17" s="4" t="s">
        <v>55</v>
      </c>
      <c r="I17" s="2"/>
    </row>
    <row r="18" spans="1:9" x14ac:dyDescent="0.3">
      <c r="A18" s="4" t="s">
        <v>93</v>
      </c>
      <c r="B18" s="4" t="s">
        <v>108</v>
      </c>
      <c r="C18" s="2" t="s">
        <v>33</v>
      </c>
      <c r="D18" s="4" t="s">
        <v>74</v>
      </c>
      <c r="E18" s="4" t="s">
        <v>86</v>
      </c>
      <c r="F18" s="4" t="s">
        <v>36</v>
      </c>
      <c r="G18" s="4" t="s">
        <v>109</v>
      </c>
      <c r="H18" s="4" t="s">
        <v>38</v>
      </c>
      <c r="I18" s="2"/>
    </row>
    <row r="19" spans="1:9" x14ac:dyDescent="0.3">
      <c r="A19" s="5"/>
      <c r="B19" s="5"/>
      <c r="C19" s="6"/>
      <c r="D19" s="5"/>
      <c r="E19" s="5"/>
      <c r="F19" s="5"/>
      <c r="G19" s="5"/>
      <c r="H19" s="5"/>
      <c r="I19" s="6"/>
    </row>
    <row r="20" spans="1:9" x14ac:dyDescent="0.3">
      <c r="A20" s="4" t="s">
        <v>110</v>
      </c>
      <c r="B20" s="4" t="s">
        <v>111</v>
      </c>
      <c r="C20" s="2" t="s">
        <v>61</v>
      </c>
      <c r="D20" s="4" t="s">
        <v>80</v>
      </c>
      <c r="E20" s="4" t="s">
        <v>69</v>
      </c>
      <c r="F20" s="4" t="s">
        <v>36</v>
      </c>
      <c r="G20" s="4" t="s">
        <v>112</v>
      </c>
      <c r="H20" s="4" t="s">
        <v>64</v>
      </c>
      <c r="I20" s="2"/>
    </row>
    <row r="21" spans="1:9" x14ac:dyDescent="0.3">
      <c r="A21" s="4">
        <v>1152</v>
      </c>
      <c r="B21" s="4" t="s">
        <v>113</v>
      </c>
      <c r="C21" s="2" t="s">
        <v>114</v>
      </c>
      <c r="D21" s="4" t="s">
        <v>41</v>
      </c>
      <c r="E21" s="4" t="s">
        <v>81</v>
      </c>
      <c r="F21" s="4" t="s">
        <v>28</v>
      </c>
      <c r="G21" s="4" t="s">
        <v>115</v>
      </c>
      <c r="H21" s="4" t="s">
        <v>116</v>
      </c>
      <c r="I21" s="2"/>
    </row>
    <row r="22" spans="1:9" x14ac:dyDescent="0.3">
      <c r="A22" s="4" t="s">
        <v>117</v>
      </c>
      <c r="B22" s="4" t="s">
        <v>118</v>
      </c>
      <c r="C22" s="2" t="s">
        <v>33</v>
      </c>
      <c r="D22" s="4" t="s">
        <v>47</v>
      </c>
      <c r="E22" s="4" t="s">
        <v>119</v>
      </c>
      <c r="F22" s="4" t="s">
        <v>36</v>
      </c>
      <c r="G22" s="4" t="s">
        <v>120</v>
      </c>
      <c r="H22" s="4" t="s">
        <v>38</v>
      </c>
      <c r="I22" s="2"/>
    </row>
    <row r="23" spans="1:9" x14ac:dyDescent="0.3">
      <c r="A23" s="4" t="s">
        <v>121</v>
      </c>
      <c r="B23" s="4" t="s">
        <v>122</v>
      </c>
      <c r="C23" s="2" t="s">
        <v>123</v>
      </c>
      <c r="D23" s="4" t="s">
        <v>26</v>
      </c>
      <c r="E23" s="4" t="s">
        <v>124</v>
      </c>
      <c r="F23" s="4" t="s">
        <v>36</v>
      </c>
      <c r="G23" s="4" t="s">
        <v>125</v>
      </c>
      <c r="H23" s="4" t="s">
        <v>126</v>
      </c>
      <c r="I23" s="2"/>
    </row>
    <row r="24" spans="1:9" x14ac:dyDescent="0.3">
      <c r="A24" s="4" t="s">
        <v>127</v>
      </c>
      <c r="B24" s="4" t="s">
        <v>128</v>
      </c>
      <c r="C24" s="2" t="s">
        <v>33</v>
      </c>
      <c r="D24" s="4" t="s">
        <v>34</v>
      </c>
      <c r="E24" s="4" t="s">
        <v>129</v>
      </c>
      <c r="F24" s="4" t="s">
        <v>36</v>
      </c>
      <c r="G24" s="4" t="s">
        <v>130</v>
      </c>
      <c r="H24" s="4" t="s">
        <v>103</v>
      </c>
      <c r="I24" s="2"/>
    </row>
    <row r="25" spans="1:9" x14ac:dyDescent="0.3">
      <c r="A25" s="4">
        <v>15240</v>
      </c>
      <c r="B25" s="4" t="s">
        <v>131</v>
      </c>
      <c r="C25" s="2" t="s">
        <v>132</v>
      </c>
      <c r="D25" s="4" t="s">
        <v>41</v>
      </c>
      <c r="E25" s="4" t="s">
        <v>53</v>
      </c>
      <c r="F25" s="4" t="s">
        <v>36</v>
      </c>
      <c r="G25" s="4" t="s">
        <v>133</v>
      </c>
      <c r="H25" s="4" t="s">
        <v>92</v>
      </c>
      <c r="I25" s="2"/>
    </row>
    <row r="26" spans="1:9" x14ac:dyDescent="0.3">
      <c r="A26" s="4" t="s">
        <v>134</v>
      </c>
      <c r="B26" s="4" t="s">
        <v>135</v>
      </c>
      <c r="C26" s="2" t="s">
        <v>33</v>
      </c>
      <c r="D26" s="4" t="s">
        <v>47</v>
      </c>
      <c r="E26" s="4" t="s">
        <v>86</v>
      </c>
      <c r="F26" s="4" t="s">
        <v>36</v>
      </c>
      <c r="G26" s="4" t="s">
        <v>136</v>
      </c>
      <c r="H26" s="4" t="s">
        <v>38</v>
      </c>
      <c r="I26" s="2"/>
    </row>
    <row r="27" spans="1:9" x14ac:dyDescent="0.3">
      <c r="A27" s="4" t="s">
        <v>137</v>
      </c>
      <c r="B27" s="4" t="s">
        <v>138</v>
      </c>
      <c r="C27" s="2" t="s">
        <v>40</v>
      </c>
      <c r="D27" s="4" t="s">
        <v>26</v>
      </c>
      <c r="E27" s="4" t="s">
        <v>62</v>
      </c>
      <c r="F27" s="4" t="s">
        <v>28</v>
      </c>
      <c r="G27" s="4" t="s">
        <v>139</v>
      </c>
      <c r="H27" s="4" t="s">
        <v>44</v>
      </c>
      <c r="I27" s="2"/>
    </row>
    <row r="28" spans="1:9" x14ac:dyDescent="0.3">
      <c r="A28" s="4" t="s">
        <v>140</v>
      </c>
      <c r="B28" s="4" t="s">
        <v>141</v>
      </c>
      <c r="C28" s="2" t="s">
        <v>57</v>
      </c>
      <c r="D28" s="4" t="s">
        <v>34</v>
      </c>
      <c r="E28" s="4" t="s">
        <v>119</v>
      </c>
      <c r="F28" s="4" t="s">
        <v>36</v>
      </c>
      <c r="G28" s="4" t="s">
        <v>142</v>
      </c>
      <c r="H28" s="4" t="s">
        <v>38</v>
      </c>
      <c r="I28" s="2"/>
    </row>
    <row r="29" spans="1:9" x14ac:dyDescent="0.3">
      <c r="A29" s="4">
        <v>1166</v>
      </c>
      <c r="B29" s="4" t="s">
        <v>143</v>
      </c>
      <c r="C29" s="2" t="s">
        <v>144</v>
      </c>
      <c r="D29" s="4" t="s">
        <v>41</v>
      </c>
      <c r="E29" s="4" t="s">
        <v>145</v>
      </c>
      <c r="F29" s="4" t="s">
        <v>36</v>
      </c>
      <c r="G29" s="4" t="s">
        <v>146</v>
      </c>
      <c r="H29" s="4" t="s">
        <v>55</v>
      </c>
      <c r="I29" s="2"/>
    </row>
    <row r="30" spans="1:9" x14ac:dyDescent="0.3">
      <c r="A30" s="4" t="s">
        <v>134</v>
      </c>
      <c r="B30" s="4" t="s">
        <v>147</v>
      </c>
      <c r="C30" s="2" t="s">
        <v>33</v>
      </c>
      <c r="D30" s="4" t="s">
        <v>47</v>
      </c>
      <c r="E30" s="4" t="s">
        <v>129</v>
      </c>
      <c r="F30" s="4" t="s">
        <v>36</v>
      </c>
      <c r="G30" s="4" t="s">
        <v>148</v>
      </c>
      <c r="H30" s="4" t="s">
        <v>38</v>
      </c>
      <c r="I30" s="2"/>
    </row>
    <row r="31" spans="1:9" x14ac:dyDescent="0.3">
      <c r="A31" s="4" t="s">
        <v>149</v>
      </c>
      <c r="B31" s="4" t="s">
        <v>150</v>
      </c>
      <c r="C31" s="2" t="s">
        <v>151</v>
      </c>
      <c r="D31" s="4" t="s">
        <v>26</v>
      </c>
      <c r="E31" s="4" t="s">
        <v>81</v>
      </c>
      <c r="F31" s="4" t="s">
        <v>36</v>
      </c>
      <c r="G31" s="4" t="s">
        <v>152</v>
      </c>
      <c r="H31" s="4" t="s">
        <v>153</v>
      </c>
      <c r="I31" s="2"/>
    </row>
    <row r="32" spans="1:9" x14ac:dyDescent="0.3">
      <c r="A32" s="4" t="s">
        <v>154</v>
      </c>
      <c r="B32" s="4" t="s">
        <v>155</v>
      </c>
      <c r="C32" s="2" t="s">
        <v>67</v>
      </c>
      <c r="D32" s="4" t="s">
        <v>80</v>
      </c>
      <c r="E32" s="4" t="s">
        <v>124</v>
      </c>
      <c r="F32" s="4" t="s">
        <v>36</v>
      </c>
      <c r="G32" s="4" t="s">
        <v>156</v>
      </c>
      <c r="H32" s="4" t="s">
        <v>157</v>
      </c>
      <c r="I32" s="2"/>
    </row>
    <row r="33" spans="1:9" x14ac:dyDescent="0.3">
      <c r="A33" s="4">
        <v>7400</v>
      </c>
      <c r="B33" s="4" t="s">
        <v>158</v>
      </c>
      <c r="C33" s="2" t="s">
        <v>57</v>
      </c>
      <c r="D33" s="4" t="s">
        <v>85</v>
      </c>
      <c r="E33" s="4" t="s">
        <v>159</v>
      </c>
      <c r="F33" s="4" t="s">
        <v>28</v>
      </c>
      <c r="G33" s="4" t="s">
        <v>160</v>
      </c>
      <c r="H33" s="4" t="s">
        <v>38</v>
      </c>
      <c r="I33" s="2"/>
    </row>
    <row r="34" spans="1:9" x14ac:dyDescent="0.3">
      <c r="A34" s="4" t="s">
        <v>161</v>
      </c>
      <c r="B34" s="4" t="s">
        <v>162</v>
      </c>
      <c r="C34" s="2" t="s">
        <v>163</v>
      </c>
      <c r="D34" s="4" t="s">
        <v>68</v>
      </c>
      <c r="E34" s="4" t="s">
        <v>42</v>
      </c>
      <c r="F34" s="4" t="s">
        <v>36</v>
      </c>
      <c r="G34" s="4" t="s">
        <v>164</v>
      </c>
      <c r="H34" s="4" t="s">
        <v>126</v>
      </c>
      <c r="I34" s="2"/>
    </row>
    <row r="35" spans="1:9" x14ac:dyDescent="0.3">
      <c r="A35" s="4" t="s">
        <v>165</v>
      </c>
      <c r="B35" s="4" t="s">
        <v>166</v>
      </c>
      <c r="C35" s="2" t="s">
        <v>33</v>
      </c>
      <c r="D35" s="4" t="s">
        <v>74</v>
      </c>
      <c r="E35" s="4" t="s">
        <v>167</v>
      </c>
      <c r="F35" s="4" t="s">
        <v>36</v>
      </c>
      <c r="G35" s="4" t="s">
        <v>168</v>
      </c>
      <c r="H35" s="4" t="s">
        <v>38</v>
      </c>
      <c r="I35" s="2"/>
    </row>
    <row r="36" spans="1:9" x14ac:dyDescent="0.3">
      <c r="A36" s="4" t="s">
        <v>169</v>
      </c>
      <c r="B36" s="4" t="s">
        <v>170</v>
      </c>
      <c r="C36" s="2" t="s">
        <v>171</v>
      </c>
      <c r="D36" s="4" t="s">
        <v>80</v>
      </c>
      <c r="E36" s="4" t="s">
        <v>62</v>
      </c>
      <c r="F36" s="4" t="s">
        <v>36</v>
      </c>
      <c r="G36" s="4" t="s">
        <v>172</v>
      </c>
      <c r="H36" s="4" t="s">
        <v>92</v>
      </c>
      <c r="I36" s="2"/>
    </row>
    <row r="37" spans="1:9" x14ac:dyDescent="0.3">
      <c r="A37" s="4">
        <v>7600</v>
      </c>
      <c r="B37" s="4" t="s">
        <v>173</v>
      </c>
      <c r="C37" s="2" t="s">
        <v>33</v>
      </c>
      <c r="D37" s="4" t="s">
        <v>85</v>
      </c>
      <c r="E37" s="4" t="s">
        <v>129</v>
      </c>
      <c r="F37" s="4" t="s">
        <v>36</v>
      </c>
      <c r="G37" s="4" t="s">
        <v>174</v>
      </c>
      <c r="H37" s="4" t="s">
        <v>38</v>
      </c>
      <c r="I37" s="2"/>
    </row>
    <row r="38" spans="1:9" x14ac:dyDescent="0.3">
      <c r="A38" s="4" t="s">
        <v>175</v>
      </c>
      <c r="B38" s="4" t="s">
        <v>176</v>
      </c>
      <c r="C38" s="2" t="s">
        <v>177</v>
      </c>
      <c r="D38" s="4" t="s">
        <v>68</v>
      </c>
      <c r="E38" s="4" t="s">
        <v>69</v>
      </c>
      <c r="F38" s="4" t="s">
        <v>36</v>
      </c>
      <c r="G38" s="4" t="s">
        <v>178</v>
      </c>
      <c r="H38" s="4" t="s">
        <v>179</v>
      </c>
      <c r="I38" s="2"/>
    </row>
    <row r="39" spans="1:9" x14ac:dyDescent="0.3">
      <c r="A39" s="4" t="s">
        <v>180</v>
      </c>
      <c r="B39" s="4" t="s">
        <v>181</v>
      </c>
      <c r="C39" s="2" t="s">
        <v>33</v>
      </c>
      <c r="D39" s="4" t="s">
        <v>74</v>
      </c>
      <c r="E39" s="4" t="s">
        <v>159</v>
      </c>
      <c r="F39" s="4" t="s">
        <v>28</v>
      </c>
      <c r="G39" s="4" t="s">
        <v>182</v>
      </c>
      <c r="H39" s="4" t="s">
        <v>38</v>
      </c>
      <c r="I39" s="2"/>
    </row>
    <row r="40" spans="1:9" x14ac:dyDescent="0.3">
      <c r="A40" s="4" t="s">
        <v>183</v>
      </c>
      <c r="B40" s="4" t="s">
        <v>184</v>
      </c>
      <c r="C40" s="2" t="s">
        <v>185</v>
      </c>
      <c r="D40" s="4" t="s">
        <v>80</v>
      </c>
      <c r="E40" s="4" t="s">
        <v>81</v>
      </c>
      <c r="F40" s="4" t="s">
        <v>36</v>
      </c>
      <c r="G40" s="4" t="s">
        <v>186</v>
      </c>
      <c r="H40" s="4" t="s">
        <v>55</v>
      </c>
      <c r="I40" s="2"/>
    </row>
    <row r="41" spans="1:9" x14ac:dyDescent="0.3">
      <c r="A41" s="4">
        <v>7600</v>
      </c>
      <c r="B41" s="4" t="s">
        <v>187</v>
      </c>
      <c r="C41" s="2" t="s">
        <v>33</v>
      </c>
      <c r="D41" s="4" t="s">
        <v>85</v>
      </c>
      <c r="E41" s="4" t="s">
        <v>167</v>
      </c>
      <c r="F41" s="4" t="s">
        <v>36</v>
      </c>
      <c r="G41" s="4" t="s">
        <v>188</v>
      </c>
      <c r="H41" s="4" t="s">
        <v>38</v>
      </c>
      <c r="I41" s="2"/>
    </row>
    <row r="42" spans="1:9" x14ac:dyDescent="0.3">
      <c r="A42" s="4" t="s">
        <v>189</v>
      </c>
      <c r="B42" s="4" t="s">
        <v>190</v>
      </c>
      <c r="C42" s="2" t="s">
        <v>151</v>
      </c>
      <c r="D42" s="4" t="s">
        <v>68</v>
      </c>
      <c r="E42" s="4" t="s">
        <v>27</v>
      </c>
      <c r="F42" s="4" t="s">
        <v>36</v>
      </c>
      <c r="G42" s="4" t="s">
        <v>191</v>
      </c>
      <c r="H42" s="4" t="s">
        <v>64</v>
      </c>
      <c r="I42" s="2"/>
    </row>
    <row r="43" spans="1:9" x14ac:dyDescent="0.3">
      <c r="A43" s="4" t="s">
        <v>192</v>
      </c>
      <c r="B43" s="4" t="s">
        <v>193</v>
      </c>
      <c r="C43" s="2" t="s">
        <v>194</v>
      </c>
      <c r="D43" s="4" t="s">
        <v>26</v>
      </c>
      <c r="E43" s="4" t="s">
        <v>42</v>
      </c>
      <c r="F43" s="4" t="s">
        <v>36</v>
      </c>
      <c r="G43" s="4" t="s">
        <v>195</v>
      </c>
      <c r="H43" s="4" t="s">
        <v>157</v>
      </c>
      <c r="I43" s="2"/>
    </row>
    <row r="44" spans="1:9" x14ac:dyDescent="0.3">
      <c r="A44" s="4" t="s">
        <v>196</v>
      </c>
      <c r="B44" s="4" t="s">
        <v>197</v>
      </c>
      <c r="C44" s="2" t="s">
        <v>33</v>
      </c>
      <c r="D44" s="4" t="s">
        <v>34</v>
      </c>
      <c r="E44" s="4" t="s">
        <v>198</v>
      </c>
      <c r="F44" s="4" t="s">
        <v>36</v>
      </c>
      <c r="G44" s="4" t="s">
        <v>199</v>
      </c>
      <c r="H44" s="4" t="s">
        <v>38</v>
      </c>
      <c r="I44" s="2"/>
    </row>
    <row r="45" spans="1:9" x14ac:dyDescent="0.3">
      <c r="A45" s="4">
        <v>3818</v>
      </c>
      <c r="B45" s="4" t="s">
        <v>200</v>
      </c>
      <c r="C45" s="2" t="s">
        <v>163</v>
      </c>
      <c r="D45" s="4" t="s">
        <v>41</v>
      </c>
      <c r="E45" s="4" t="s">
        <v>53</v>
      </c>
      <c r="F45" s="4" t="s">
        <v>28</v>
      </c>
      <c r="G45" s="4" t="s">
        <v>201</v>
      </c>
      <c r="H45" s="4" t="s">
        <v>202</v>
      </c>
      <c r="I45" s="2"/>
    </row>
    <row r="46" spans="1:9" x14ac:dyDescent="0.3">
      <c r="A46" s="5"/>
      <c r="B46" s="5"/>
      <c r="C46" s="6"/>
      <c r="D46" s="5"/>
      <c r="E46" s="5"/>
      <c r="F46" s="5"/>
      <c r="G46" s="5"/>
      <c r="H46" s="5"/>
      <c r="I46" s="6"/>
    </row>
    <row r="47" spans="1:9" x14ac:dyDescent="0.3">
      <c r="A47" s="4" t="s">
        <v>203</v>
      </c>
      <c r="B47" s="4" t="s">
        <v>204</v>
      </c>
      <c r="C47" s="2" t="s">
        <v>33</v>
      </c>
      <c r="D47" s="4" t="s">
        <v>47</v>
      </c>
      <c r="E47" s="4" t="s">
        <v>205</v>
      </c>
      <c r="F47" s="4" t="s">
        <v>36</v>
      </c>
      <c r="G47" s="4" t="s">
        <v>206</v>
      </c>
      <c r="H47" s="4" t="s">
        <v>38</v>
      </c>
      <c r="I47" s="2"/>
    </row>
    <row r="48" spans="1:9" x14ac:dyDescent="0.3">
      <c r="A48" s="4" t="s">
        <v>207</v>
      </c>
      <c r="B48" s="4" t="s">
        <v>208</v>
      </c>
      <c r="C48" s="2" t="s">
        <v>132</v>
      </c>
      <c r="D48" s="4" t="s">
        <v>26</v>
      </c>
      <c r="E48" s="4" t="s">
        <v>69</v>
      </c>
      <c r="F48" s="4" t="s">
        <v>36</v>
      </c>
      <c r="G48" s="4" t="s">
        <v>209</v>
      </c>
      <c r="H48" s="4" t="s">
        <v>92</v>
      </c>
      <c r="I48" s="2"/>
    </row>
    <row r="49" spans="1:9" x14ac:dyDescent="0.3">
      <c r="A49" s="4" t="s">
        <v>210</v>
      </c>
      <c r="B49" s="4" t="s">
        <v>211</v>
      </c>
      <c r="C49" s="2" t="s">
        <v>57</v>
      </c>
      <c r="D49" s="4" t="s">
        <v>34</v>
      </c>
      <c r="E49" s="4" t="s">
        <v>167</v>
      </c>
      <c r="F49" s="4" t="s">
        <v>36</v>
      </c>
      <c r="G49" s="4" t="s">
        <v>212</v>
      </c>
      <c r="H49" s="4" t="s">
        <v>38</v>
      </c>
      <c r="I49" s="2"/>
    </row>
    <row r="50" spans="1:9" x14ac:dyDescent="0.3">
      <c r="A50" s="4">
        <v>11294</v>
      </c>
      <c r="B50" s="4" t="s">
        <v>213</v>
      </c>
      <c r="C50" s="2" t="s">
        <v>214</v>
      </c>
      <c r="D50" s="4" t="s">
        <v>41</v>
      </c>
      <c r="E50" s="4" t="s">
        <v>81</v>
      </c>
      <c r="F50" s="4" t="s">
        <v>36</v>
      </c>
      <c r="G50" s="4" t="s">
        <v>215</v>
      </c>
      <c r="H50" s="4" t="s">
        <v>44</v>
      </c>
      <c r="I50" s="2"/>
    </row>
    <row r="51" spans="1:9" x14ac:dyDescent="0.3">
      <c r="A51" s="4" t="s">
        <v>216</v>
      </c>
      <c r="B51" s="4" t="s">
        <v>217</v>
      </c>
      <c r="C51" s="2" t="s">
        <v>33</v>
      </c>
      <c r="D51" s="4" t="s">
        <v>47</v>
      </c>
      <c r="E51" s="4" t="s">
        <v>198</v>
      </c>
      <c r="F51" s="4" t="s">
        <v>36</v>
      </c>
      <c r="G51" s="4" t="s">
        <v>218</v>
      </c>
      <c r="H51" s="4" t="s">
        <v>38</v>
      </c>
      <c r="I51" s="2"/>
    </row>
    <row r="52" spans="1:9" x14ac:dyDescent="0.3">
      <c r="A52" s="4" t="s">
        <v>219</v>
      </c>
      <c r="B52" s="4" t="s">
        <v>220</v>
      </c>
      <c r="C52" s="2" t="s">
        <v>144</v>
      </c>
      <c r="D52" s="4" t="s">
        <v>26</v>
      </c>
      <c r="E52" s="4" t="s">
        <v>124</v>
      </c>
      <c r="F52" s="4" t="s">
        <v>28</v>
      </c>
      <c r="G52" s="4" t="s">
        <v>221</v>
      </c>
      <c r="H52" s="4" t="s">
        <v>55</v>
      </c>
      <c r="I52" s="2"/>
    </row>
    <row r="53" spans="1:9" x14ac:dyDescent="0.3">
      <c r="A53" s="4" t="s">
        <v>210</v>
      </c>
      <c r="B53" s="4" t="s">
        <v>222</v>
      </c>
      <c r="C53" s="2" t="s">
        <v>33</v>
      </c>
      <c r="D53" s="4" t="s">
        <v>34</v>
      </c>
      <c r="E53" s="4" t="s">
        <v>205</v>
      </c>
      <c r="F53" s="4" t="s">
        <v>36</v>
      </c>
      <c r="G53" s="4" t="s">
        <v>223</v>
      </c>
      <c r="H53" s="4" t="s">
        <v>103</v>
      </c>
      <c r="I53" s="2"/>
    </row>
    <row r="54" spans="1:9" x14ac:dyDescent="0.3">
      <c r="A54" s="4">
        <v>8216</v>
      </c>
      <c r="B54" s="4" t="s">
        <v>224</v>
      </c>
      <c r="C54" s="2" t="s">
        <v>225</v>
      </c>
      <c r="D54" s="4" t="s">
        <v>41</v>
      </c>
      <c r="E54" s="4" t="s">
        <v>42</v>
      </c>
      <c r="F54" s="4" t="s">
        <v>36</v>
      </c>
      <c r="G54" s="4" t="s">
        <v>226</v>
      </c>
      <c r="H54" s="4" t="s">
        <v>64</v>
      </c>
      <c r="I54" s="2"/>
    </row>
    <row r="55" spans="1:9" x14ac:dyDescent="0.3">
      <c r="A55" s="4" t="s">
        <v>227</v>
      </c>
      <c r="B55" s="4" t="s">
        <v>228</v>
      </c>
      <c r="C55" s="2" t="s">
        <v>229</v>
      </c>
      <c r="D55" s="4" t="s">
        <v>68</v>
      </c>
      <c r="E55" s="4" t="s">
        <v>53</v>
      </c>
      <c r="F55" s="4" t="s">
        <v>36</v>
      </c>
      <c r="G55" s="4" t="s">
        <v>230</v>
      </c>
      <c r="H55" s="4" t="s">
        <v>157</v>
      </c>
      <c r="I55" s="2"/>
    </row>
    <row r="56" spans="1:9" x14ac:dyDescent="0.3">
      <c r="A56" s="4" t="s">
        <v>231</v>
      </c>
      <c r="B56" s="4" t="s">
        <v>232</v>
      </c>
      <c r="C56" s="2" t="s">
        <v>33</v>
      </c>
      <c r="D56" s="4" t="s">
        <v>74</v>
      </c>
      <c r="E56" s="4" t="s">
        <v>233</v>
      </c>
      <c r="F56" s="4" t="s">
        <v>36</v>
      </c>
      <c r="G56" s="4" t="s">
        <v>234</v>
      </c>
      <c r="H56" s="4" t="s">
        <v>38</v>
      </c>
      <c r="I56" s="2"/>
    </row>
    <row r="57" spans="1:9" x14ac:dyDescent="0.3">
      <c r="A57" s="4" t="s">
        <v>235</v>
      </c>
      <c r="B57" s="4" t="s">
        <v>236</v>
      </c>
      <c r="C57" s="2" t="s">
        <v>163</v>
      </c>
      <c r="D57" s="4" t="s">
        <v>80</v>
      </c>
      <c r="E57" s="4" t="s">
        <v>62</v>
      </c>
      <c r="F57" s="4" t="s">
        <v>36</v>
      </c>
      <c r="G57" s="4" t="s">
        <v>237</v>
      </c>
      <c r="H57" s="4" t="s">
        <v>126</v>
      </c>
      <c r="I57" s="2"/>
    </row>
    <row r="58" spans="1:9" x14ac:dyDescent="0.3">
      <c r="A58" s="4">
        <v>8000</v>
      </c>
      <c r="B58" s="4" t="s">
        <v>238</v>
      </c>
      <c r="C58" s="2" t="s">
        <v>33</v>
      </c>
      <c r="D58" s="4" t="s">
        <v>85</v>
      </c>
      <c r="E58" s="4" t="s">
        <v>239</v>
      </c>
      <c r="F58" s="4" t="s">
        <v>28</v>
      </c>
      <c r="G58" s="4" t="s">
        <v>240</v>
      </c>
      <c r="H58" s="4" t="s">
        <v>38</v>
      </c>
      <c r="I58" s="2"/>
    </row>
    <row r="59" spans="1:9" x14ac:dyDescent="0.3">
      <c r="A59" s="4" t="s">
        <v>241</v>
      </c>
      <c r="B59" s="4" t="s">
        <v>242</v>
      </c>
      <c r="C59" s="2" t="s">
        <v>243</v>
      </c>
      <c r="D59" s="4" t="s">
        <v>68</v>
      </c>
      <c r="E59" s="4" t="s">
        <v>81</v>
      </c>
      <c r="F59" s="4" t="s">
        <v>36</v>
      </c>
      <c r="G59" s="4" t="s">
        <v>244</v>
      </c>
      <c r="H59" s="4" t="s">
        <v>92</v>
      </c>
      <c r="I59" s="2"/>
    </row>
    <row r="60" spans="1:9" x14ac:dyDescent="0.3">
      <c r="A60" s="4" t="s">
        <v>245</v>
      </c>
      <c r="B60" s="4" t="s">
        <v>246</v>
      </c>
      <c r="C60" s="2" t="s">
        <v>33</v>
      </c>
      <c r="D60" s="4" t="s">
        <v>74</v>
      </c>
      <c r="E60" s="4" t="s">
        <v>205</v>
      </c>
      <c r="F60" s="4" t="s">
        <v>36</v>
      </c>
      <c r="G60" s="4" t="s">
        <v>247</v>
      </c>
      <c r="H60" s="4" t="s">
        <v>103</v>
      </c>
      <c r="I60" s="2"/>
    </row>
    <row r="61" spans="1:9" x14ac:dyDescent="0.3">
      <c r="A61" s="4" t="s">
        <v>248</v>
      </c>
      <c r="B61" s="4" t="s">
        <v>249</v>
      </c>
      <c r="C61" s="2" t="s">
        <v>98</v>
      </c>
      <c r="D61" s="4" t="s">
        <v>80</v>
      </c>
      <c r="E61" s="4" t="s">
        <v>124</v>
      </c>
      <c r="F61" s="4" t="s">
        <v>36</v>
      </c>
      <c r="G61" s="4" t="s">
        <v>250</v>
      </c>
      <c r="H61" s="4" t="s">
        <v>44</v>
      </c>
      <c r="I61" s="2"/>
    </row>
    <row r="62" spans="1:9" x14ac:dyDescent="0.3">
      <c r="A62" s="4">
        <v>8400</v>
      </c>
      <c r="B62" s="4" t="s">
        <v>251</v>
      </c>
      <c r="C62" s="2" t="s">
        <v>33</v>
      </c>
      <c r="D62" s="4" t="s">
        <v>85</v>
      </c>
      <c r="E62" s="4" t="s">
        <v>252</v>
      </c>
      <c r="F62" s="4" t="s">
        <v>36</v>
      </c>
      <c r="G62" s="4" t="s">
        <v>253</v>
      </c>
      <c r="H62" s="4" t="s">
        <v>38</v>
      </c>
      <c r="I62" s="2"/>
    </row>
    <row r="63" spans="1:9" x14ac:dyDescent="0.3">
      <c r="A63" s="4" t="s">
        <v>254</v>
      </c>
      <c r="B63" s="4" t="s">
        <v>255</v>
      </c>
      <c r="C63" s="2" t="s">
        <v>144</v>
      </c>
      <c r="D63" s="4" t="s">
        <v>68</v>
      </c>
      <c r="E63" s="4" t="s">
        <v>42</v>
      </c>
      <c r="F63" s="4" t="s">
        <v>36</v>
      </c>
      <c r="G63" s="4" t="s">
        <v>256</v>
      </c>
      <c r="H63" s="4" t="s">
        <v>55</v>
      </c>
      <c r="I63" s="2"/>
    </row>
    <row r="64" spans="1:9" x14ac:dyDescent="0.3">
      <c r="A64" s="4" t="s">
        <v>245</v>
      </c>
      <c r="B64" s="4" t="s">
        <v>257</v>
      </c>
      <c r="C64" s="2" t="s">
        <v>57</v>
      </c>
      <c r="D64" s="4" t="s">
        <v>74</v>
      </c>
      <c r="E64" s="4" t="s">
        <v>239</v>
      </c>
      <c r="F64" s="4" t="s">
        <v>28</v>
      </c>
      <c r="G64" s="4" t="s">
        <v>258</v>
      </c>
      <c r="H64" s="4" t="s">
        <v>38</v>
      </c>
      <c r="I64" s="2"/>
    </row>
    <row r="65" spans="1:9" x14ac:dyDescent="0.3">
      <c r="A65" s="4" t="s">
        <v>259</v>
      </c>
      <c r="B65" s="4" t="s">
        <v>260</v>
      </c>
      <c r="C65" s="2" t="s">
        <v>151</v>
      </c>
      <c r="D65" s="4" t="s">
        <v>80</v>
      </c>
      <c r="E65" s="4" t="s">
        <v>53</v>
      </c>
      <c r="F65" s="4" t="s">
        <v>36</v>
      </c>
      <c r="G65" s="4" t="s">
        <v>261</v>
      </c>
      <c r="H65" s="4" t="s">
        <v>64</v>
      </c>
      <c r="I65" s="2"/>
    </row>
    <row r="66" spans="1:9" x14ac:dyDescent="0.3">
      <c r="A66" s="4">
        <v>91</v>
      </c>
      <c r="B66" s="4" t="s">
        <v>262</v>
      </c>
      <c r="C66" s="2" t="s">
        <v>67</v>
      </c>
      <c r="D66" s="4" t="s">
        <v>41</v>
      </c>
      <c r="E66" s="4" t="s">
        <v>62</v>
      </c>
      <c r="F66" s="4" t="s">
        <v>36</v>
      </c>
      <c r="G66" s="4" t="s">
        <v>263</v>
      </c>
      <c r="H66" s="4" t="s">
        <v>157</v>
      </c>
      <c r="I66" s="2"/>
    </row>
    <row r="67" spans="1:9" x14ac:dyDescent="0.3">
      <c r="A67" s="4" t="s">
        <v>264</v>
      </c>
      <c r="B67" s="4" t="s">
        <v>265</v>
      </c>
      <c r="C67" s="2" t="s">
        <v>33</v>
      </c>
      <c r="D67" s="4" t="s">
        <v>47</v>
      </c>
      <c r="E67" s="4" t="s">
        <v>266</v>
      </c>
      <c r="F67" s="4" t="s">
        <v>36</v>
      </c>
      <c r="G67" s="4" t="s">
        <v>267</v>
      </c>
      <c r="H67" s="4" t="s">
        <v>103</v>
      </c>
      <c r="I67" s="2"/>
    </row>
    <row r="68" spans="1:9" x14ac:dyDescent="0.3">
      <c r="A68" s="4" t="s">
        <v>268</v>
      </c>
      <c r="B68" s="4" t="s">
        <v>269</v>
      </c>
      <c r="C68" s="2" t="s">
        <v>270</v>
      </c>
      <c r="D68" s="4" t="s">
        <v>26</v>
      </c>
      <c r="E68" s="4" t="s">
        <v>69</v>
      </c>
      <c r="F68" s="4" t="s">
        <v>36</v>
      </c>
      <c r="G68" s="4" t="s">
        <v>271</v>
      </c>
      <c r="H68" s="4" t="s">
        <v>126</v>
      </c>
      <c r="I68" s="2"/>
    </row>
    <row r="69" spans="1:9" x14ac:dyDescent="0.3">
      <c r="A69" s="4" t="s">
        <v>272</v>
      </c>
      <c r="B69" s="4" t="s">
        <v>273</v>
      </c>
      <c r="C69" s="2" t="s">
        <v>57</v>
      </c>
      <c r="D69" s="4" t="s">
        <v>34</v>
      </c>
      <c r="E69" s="4" t="s">
        <v>274</v>
      </c>
      <c r="F69" s="4" t="s">
        <v>36</v>
      </c>
      <c r="G69" s="4" t="s">
        <v>275</v>
      </c>
      <c r="H69" s="4" t="s">
        <v>38</v>
      </c>
      <c r="I69" s="2"/>
    </row>
    <row r="70" spans="1:9" x14ac:dyDescent="0.3">
      <c r="A70" s="4">
        <v>1322</v>
      </c>
      <c r="B70" s="4" t="s">
        <v>276</v>
      </c>
      <c r="C70" s="2" t="s">
        <v>132</v>
      </c>
      <c r="D70" s="4" t="s">
        <v>41</v>
      </c>
      <c r="E70" s="4" t="s">
        <v>124</v>
      </c>
      <c r="F70" s="4" t="s">
        <v>28</v>
      </c>
      <c r="G70" s="4" t="s">
        <v>277</v>
      </c>
      <c r="H70" s="4" t="s">
        <v>92</v>
      </c>
      <c r="I70" s="2"/>
    </row>
    <row r="71" spans="1:9" x14ac:dyDescent="0.3">
      <c r="A71" s="4" t="s">
        <v>278</v>
      </c>
      <c r="B71" s="4" t="s">
        <v>279</v>
      </c>
      <c r="C71" s="2" t="s">
        <v>33</v>
      </c>
      <c r="D71" s="4" t="s">
        <v>47</v>
      </c>
      <c r="E71" s="4" t="s">
        <v>239</v>
      </c>
      <c r="F71" s="4" t="s">
        <v>36</v>
      </c>
      <c r="G71" s="4" t="s">
        <v>280</v>
      </c>
      <c r="H71" s="4" t="s">
        <v>38</v>
      </c>
      <c r="I71" s="2"/>
    </row>
    <row r="72" spans="1:9" x14ac:dyDescent="0.3">
      <c r="A72" s="4" t="s">
        <v>281</v>
      </c>
      <c r="B72" s="4" t="s">
        <v>282</v>
      </c>
      <c r="C72" s="2" t="s">
        <v>214</v>
      </c>
      <c r="D72" s="4" t="s">
        <v>26</v>
      </c>
      <c r="E72" s="4" t="s">
        <v>42</v>
      </c>
      <c r="F72" s="4" t="s">
        <v>36</v>
      </c>
      <c r="G72" s="4" t="s">
        <v>283</v>
      </c>
      <c r="H72" s="4" t="s">
        <v>44</v>
      </c>
      <c r="I72" s="2"/>
    </row>
    <row r="73" spans="1:9" x14ac:dyDescent="0.3">
      <c r="A73" s="5"/>
      <c r="B73" s="5"/>
      <c r="C73" s="6"/>
      <c r="D73" s="5"/>
      <c r="E73" s="5"/>
      <c r="F73" s="5"/>
      <c r="G73" s="5"/>
      <c r="H73" s="5"/>
      <c r="I73" s="6"/>
    </row>
    <row r="74" spans="1:9" x14ac:dyDescent="0.3">
      <c r="A74" s="4" t="s">
        <v>284</v>
      </c>
      <c r="B74" s="4" t="s">
        <v>285</v>
      </c>
      <c r="C74" s="2" t="s">
        <v>33</v>
      </c>
      <c r="D74" s="4" t="s">
        <v>34</v>
      </c>
      <c r="E74" s="4" t="s">
        <v>266</v>
      </c>
      <c r="F74" s="4" t="s">
        <v>36</v>
      </c>
      <c r="G74" s="4" t="s">
        <v>286</v>
      </c>
      <c r="H74" s="4" t="s">
        <v>38</v>
      </c>
      <c r="I74" s="2"/>
    </row>
    <row r="75" spans="1:9" x14ac:dyDescent="0.3">
      <c r="A75" s="4">
        <v>92</v>
      </c>
      <c r="B75" s="4" t="s">
        <v>287</v>
      </c>
      <c r="C75" s="2" t="s">
        <v>106</v>
      </c>
      <c r="D75" s="4" t="s">
        <v>41</v>
      </c>
      <c r="E75" s="4" t="s">
        <v>53</v>
      </c>
      <c r="F75" s="4" t="s">
        <v>36</v>
      </c>
      <c r="G75" s="4" t="s">
        <v>288</v>
      </c>
      <c r="H75" s="4" t="s">
        <v>289</v>
      </c>
      <c r="I75" s="2"/>
    </row>
    <row r="76" spans="1:9" x14ac:dyDescent="0.3">
      <c r="A76" s="4" t="s">
        <v>278</v>
      </c>
      <c r="B76" s="4" t="s">
        <v>290</v>
      </c>
      <c r="C76" s="2" t="s">
        <v>33</v>
      </c>
      <c r="D76" s="4" t="s">
        <v>47</v>
      </c>
      <c r="E76" s="4" t="s">
        <v>291</v>
      </c>
      <c r="F76" s="4" t="s">
        <v>36</v>
      </c>
      <c r="G76" s="4" t="s">
        <v>292</v>
      </c>
      <c r="H76" s="4" t="s">
        <v>38</v>
      </c>
      <c r="I76" s="2"/>
    </row>
    <row r="77" spans="1:9" x14ac:dyDescent="0.3">
      <c r="A77" s="4" t="s">
        <v>293</v>
      </c>
      <c r="B77" s="4" t="s">
        <v>294</v>
      </c>
      <c r="C77" s="2" t="s">
        <v>151</v>
      </c>
      <c r="D77" s="4" t="s">
        <v>26</v>
      </c>
      <c r="E77" s="4" t="s">
        <v>62</v>
      </c>
      <c r="F77" s="4" t="s">
        <v>28</v>
      </c>
      <c r="G77" s="4" t="s">
        <v>295</v>
      </c>
      <c r="H77" s="4" t="s">
        <v>64</v>
      </c>
      <c r="I77" s="2"/>
    </row>
    <row r="78" spans="1:9" x14ac:dyDescent="0.3">
      <c r="A78" s="4" t="s">
        <v>296</v>
      </c>
      <c r="B78" s="4" t="s">
        <v>297</v>
      </c>
      <c r="C78" s="2" t="s">
        <v>229</v>
      </c>
      <c r="D78" s="4" t="s">
        <v>80</v>
      </c>
      <c r="E78" s="4" t="s">
        <v>69</v>
      </c>
      <c r="F78" s="4" t="s">
        <v>36</v>
      </c>
      <c r="G78" s="4" t="s">
        <v>298</v>
      </c>
      <c r="H78" s="4" t="s">
        <v>157</v>
      </c>
      <c r="I78" s="2"/>
    </row>
    <row r="79" spans="1:9" x14ac:dyDescent="0.3">
      <c r="A79" s="4">
        <v>8600</v>
      </c>
      <c r="B79" s="4" t="s">
        <v>299</v>
      </c>
      <c r="C79" s="2" t="s">
        <v>33</v>
      </c>
      <c r="D79" s="4" t="s">
        <v>85</v>
      </c>
      <c r="E79" s="4" t="s">
        <v>35</v>
      </c>
      <c r="F79" s="4" t="s">
        <v>36</v>
      </c>
      <c r="G79" s="4" t="s">
        <v>300</v>
      </c>
      <c r="H79" s="4" t="s">
        <v>38</v>
      </c>
      <c r="I79" s="2"/>
    </row>
    <row r="80" spans="1:9" x14ac:dyDescent="0.3">
      <c r="A80" s="4" t="s">
        <v>301</v>
      </c>
      <c r="B80" s="4" t="s">
        <v>302</v>
      </c>
      <c r="C80" s="2" t="s">
        <v>123</v>
      </c>
      <c r="D80" s="4" t="s">
        <v>68</v>
      </c>
      <c r="E80" s="4" t="s">
        <v>81</v>
      </c>
      <c r="F80" s="4" t="s">
        <v>36</v>
      </c>
      <c r="G80" s="4" t="s">
        <v>303</v>
      </c>
      <c r="H80" s="4" t="s">
        <v>126</v>
      </c>
      <c r="I80" s="2"/>
    </row>
    <row r="81" spans="1:9" x14ac:dyDescent="0.3">
      <c r="A81" s="4" t="s">
        <v>304</v>
      </c>
      <c r="B81" s="4" t="s">
        <v>305</v>
      </c>
      <c r="C81" s="2" t="s">
        <v>33</v>
      </c>
      <c r="D81" s="4" t="s">
        <v>74</v>
      </c>
      <c r="E81" s="4" t="s">
        <v>48</v>
      </c>
      <c r="F81" s="4" t="s">
        <v>36</v>
      </c>
      <c r="G81" s="4" t="s">
        <v>306</v>
      </c>
      <c r="H81" s="4" t="s">
        <v>38</v>
      </c>
      <c r="I81" s="2"/>
    </row>
    <row r="82" spans="1:9" x14ac:dyDescent="0.3">
      <c r="A82" s="4" t="s">
        <v>307</v>
      </c>
      <c r="B82" s="4" t="s">
        <v>308</v>
      </c>
      <c r="C82" s="2" t="s">
        <v>171</v>
      </c>
      <c r="D82" s="4" t="s">
        <v>80</v>
      </c>
      <c r="E82" s="4" t="s">
        <v>42</v>
      </c>
      <c r="F82" s="4" t="s">
        <v>36</v>
      </c>
      <c r="G82" s="4" t="s">
        <v>309</v>
      </c>
      <c r="H82" s="4" t="s">
        <v>30</v>
      </c>
      <c r="I82" s="2"/>
    </row>
    <row r="83" spans="1:9" x14ac:dyDescent="0.3">
      <c r="A83" s="4">
        <v>8900</v>
      </c>
      <c r="B83" s="4" t="s">
        <v>310</v>
      </c>
      <c r="C83" s="2" t="s">
        <v>33</v>
      </c>
      <c r="D83" s="4" t="s">
        <v>85</v>
      </c>
      <c r="E83" s="4" t="s">
        <v>274</v>
      </c>
      <c r="F83" s="4" t="s">
        <v>28</v>
      </c>
      <c r="G83" s="4" t="s">
        <v>311</v>
      </c>
      <c r="H83" s="4" t="s">
        <v>38</v>
      </c>
      <c r="I83" s="2"/>
    </row>
    <row r="84" spans="1:9" x14ac:dyDescent="0.3">
      <c r="A84" s="4" t="s">
        <v>312</v>
      </c>
      <c r="B84" s="4" t="s">
        <v>313</v>
      </c>
      <c r="C84" s="2" t="s">
        <v>40</v>
      </c>
      <c r="D84" s="4" t="s">
        <v>68</v>
      </c>
      <c r="E84" s="4" t="s">
        <v>53</v>
      </c>
      <c r="F84" s="4" t="s">
        <v>36</v>
      </c>
      <c r="G84" s="4" t="s">
        <v>314</v>
      </c>
      <c r="H84" s="4" t="s">
        <v>44</v>
      </c>
      <c r="I84" s="2"/>
    </row>
    <row r="85" spans="1:9" x14ac:dyDescent="0.3">
      <c r="A85" s="4" t="s">
        <v>315</v>
      </c>
      <c r="B85" s="4" t="s">
        <v>316</v>
      </c>
      <c r="C85" s="2" t="s">
        <v>57</v>
      </c>
      <c r="D85" s="4" t="s">
        <v>74</v>
      </c>
      <c r="E85" s="4" t="s">
        <v>35</v>
      </c>
      <c r="F85" s="4" t="s">
        <v>36</v>
      </c>
      <c r="G85" s="4" t="s">
        <v>317</v>
      </c>
      <c r="H85" s="4" t="s">
        <v>38</v>
      </c>
      <c r="I85" s="2"/>
    </row>
    <row r="86" spans="1:9" x14ac:dyDescent="0.3">
      <c r="A86" s="4" t="s">
        <v>318</v>
      </c>
      <c r="B86" s="4" t="s">
        <v>319</v>
      </c>
      <c r="C86" s="2" t="s">
        <v>33</v>
      </c>
      <c r="D86" s="4" t="s">
        <v>34</v>
      </c>
      <c r="E86" s="4" t="s">
        <v>48</v>
      </c>
      <c r="F86" s="4" t="s">
        <v>36</v>
      </c>
      <c r="G86" s="4" t="s">
        <v>320</v>
      </c>
      <c r="H86" s="4" t="s">
        <v>38</v>
      </c>
      <c r="I86" s="2"/>
    </row>
    <row r="87" spans="1:9" x14ac:dyDescent="0.3">
      <c r="A87" s="4">
        <v>928</v>
      </c>
      <c r="B87" s="4" t="s">
        <v>321</v>
      </c>
      <c r="C87" s="2" t="s">
        <v>151</v>
      </c>
      <c r="D87" s="4" t="s">
        <v>41</v>
      </c>
      <c r="E87" s="4" t="s">
        <v>69</v>
      </c>
      <c r="F87" s="4" t="s">
        <v>36</v>
      </c>
      <c r="G87" s="4" t="s">
        <v>322</v>
      </c>
      <c r="H87" s="4" t="s">
        <v>64</v>
      </c>
      <c r="I87" s="2"/>
    </row>
    <row r="88" spans="1:9" x14ac:dyDescent="0.3">
      <c r="A88" s="4" t="s">
        <v>323</v>
      </c>
      <c r="B88" s="4" t="s">
        <v>324</v>
      </c>
      <c r="C88" s="2" t="s">
        <v>67</v>
      </c>
      <c r="D88" s="4" t="s">
        <v>68</v>
      </c>
      <c r="E88" s="4" t="s">
        <v>81</v>
      </c>
      <c r="F88" s="4" t="s">
        <v>36</v>
      </c>
      <c r="G88" s="4" t="s">
        <v>325</v>
      </c>
      <c r="H88" s="4" t="s">
        <v>157</v>
      </c>
      <c r="I88" s="2"/>
    </row>
    <row r="89" spans="1:9" x14ac:dyDescent="0.3">
      <c r="A89" s="4" t="s">
        <v>315</v>
      </c>
      <c r="B89" s="4" t="s">
        <v>326</v>
      </c>
      <c r="C89" s="2" t="s">
        <v>33</v>
      </c>
      <c r="D89" s="4" t="s">
        <v>74</v>
      </c>
      <c r="E89" s="4" t="s">
        <v>58</v>
      </c>
      <c r="F89" s="4" t="s">
        <v>28</v>
      </c>
      <c r="G89" s="4" t="s">
        <v>327</v>
      </c>
      <c r="H89" s="4" t="s">
        <v>103</v>
      </c>
      <c r="I89" s="2"/>
    </row>
    <row r="90" spans="1:9" x14ac:dyDescent="0.3">
      <c r="A90" s="4" t="s">
        <v>328</v>
      </c>
      <c r="B90" s="4" t="s">
        <v>329</v>
      </c>
      <c r="C90" s="2" t="s">
        <v>123</v>
      </c>
      <c r="D90" s="4" t="s">
        <v>80</v>
      </c>
      <c r="E90" s="4" t="s">
        <v>124</v>
      </c>
      <c r="F90" s="4" t="s">
        <v>36</v>
      </c>
      <c r="G90" s="4" t="s">
        <v>330</v>
      </c>
      <c r="H90" s="4" t="s">
        <v>126</v>
      </c>
      <c r="I90" s="2"/>
    </row>
    <row r="91" spans="1:9" x14ac:dyDescent="0.3">
      <c r="A91" s="4">
        <v>8900</v>
      </c>
      <c r="B91" s="4" t="s">
        <v>331</v>
      </c>
      <c r="C91" s="2" t="s">
        <v>33</v>
      </c>
      <c r="D91" s="4" t="s">
        <v>85</v>
      </c>
      <c r="E91" s="4" t="s">
        <v>75</v>
      </c>
      <c r="F91" s="4" t="s">
        <v>36</v>
      </c>
      <c r="G91" s="4" t="s">
        <v>332</v>
      </c>
      <c r="H91" s="4" t="s">
        <v>38</v>
      </c>
      <c r="I91" s="2"/>
    </row>
    <row r="92" spans="1:9" x14ac:dyDescent="0.3">
      <c r="A92" s="4" t="s">
        <v>333</v>
      </c>
      <c r="B92" s="4" t="s">
        <v>334</v>
      </c>
      <c r="C92" s="2" t="s">
        <v>132</v>
      </c>
      <c r="D92" s="4" t="s">
        <v>68</v>
      </c>
      <c r="E92" s="4" t="s">
        <v>53</v>
      </c>
      <c r="F92" s="4" t="s">
        <v>36</v>
      </c>
      <c r="G92" s="4" t="s">
        <v>335</v>
      </c>
      <c r="H92" s="4" t="s">
        <v>92</v>
      </c>
      <c r="I92" s="2"/>
    </row>
    <row r="93" spans="1:9" x14ac:dyDescent="0.3">
      <c r="A93" s="4" t="s">
        <v>336</v>
      </c>
      <c r="B93" s="4" t="s">
        <v>337</v>
      </c>
      <c r="C93" s="2" t="s">
        <v>33</v>
      </c>
      <c r="D93" s="4" t="s">
        <v>74</v>
      </c>
      <c r="E93" s="4" t="s">
        <v>48</v>
      </c>
      <c r="F93" s="4" t="s">
        <v>36</v>
      </c>
      <c r="G93" s="4" t="s">
        <v>338</v>
      </c>
      <c r="H93" s="4" t="s">
        <v>38</v>
      </c>
      <c r="I93" s="2"/>
    </row>
    <row r="94" spans="1:9" x14ac:dyDescent="0.3">
      <c r="A94" s="4" t="s">
        <v>339</v>
      </c>
      <c r="B94" s="4" t="s">
        <v>340</v>
      </c>
      <c r="C94" s="2" t="s">
        <v>214</v>
      </c>
      <c r="D94" s="4" t="s">
        <v>80</v>
      </c>
      <c r="E94" s="4" t="s">
        <v>62</v>
      </c>
      <c r="F94" s="4" t="s">
        <v>36</v>
      </c>
      <c r="G94" s="4" t="s">
        <v>341</v>
      </c>
      <c r="H94" s="4" t="s">
        <v>44</v>
      </c>
      <c r="I94" s="2"/>
    </row>
    <row r="95" spans="1:9" x14ac:dyDescent="0.3">
      <c r="A95" s="4">
        <v>9200</v>
      </c>
      <c r="B95" s="4" t="s">
        <v>342</v>
      </c>
      <c r="C95" s="2" t="s">
        <v>57</v>
      </c>
      <c r="D95" s="4" t="s">
        <v>85</v>
      </c>
      <c r="E95" s="4" t="s">
        <v>58</v>
      </c>
      <c r="F95" s="4" t="s">
        <v>28</v>
      </c>
      <c r="G95" s="4" t="s">
        <v>343</v>
      </c>
      <c r="H95" s="4" t="s">
        <v>38</v>
      </c>
      <c r="I95" s="2"/>
    </row>
    <row r="96" spans="1:9" x14ac:dyDescent="0.3">
      <c r="A96" s="4" t="s">
        <v>344</v>
      </c>
      <c r="B96" s="4" t="s">
        <v>345</v>
      </c>
      <c r="C96" s="2" t="s">
        <v>144</v>
      </c>
      <c r="D96" s="4" t="s">
        <v>68</v>
      </c>
      <c r="E96" s="4" t="s">
        <v>145</v>
      </c>
      <c r="F96" s="4" t="s">
        <v>36</v>
      </c>
      <c r="G96" s="4" t="s">
        <v>346</v>
      </c>
      <c r="H96" s="4" t="s">
        <v>289</v>
      </c>
      <c r="I96" s="2"/>
    </row>
    <row r="97" spans="1:9" x14ac:dyDescent="0.3">
      <c r="A97" s="4" t="s">
        <v>336</v>
      </c>
      <c r="B97" s="4" t="s">
        <v>347</v>
      </c>
      <c r="C97" s="2" t="s">
        <v>33</v>
      </c>
      <c r="D97" s="4" t="s">
        <v>74</v>
      </c>
      <c r="E97" s="4" t="s">
        <v>75</v>
      </c>
      <c r="F97" s="4" t="s">
        <v>36</v>
      </c>
      <c r="G97" s="4" t="s">
        <v>348</v>
      </c>
      <c r="H97" s="4" t="s">
        <v>38</v>
      </c>
      <c r="I97" s="2"/>
    </row>
    <row r="98" spans="1:9" x14ac:dyDescent="0.3">
      <c r="A98" s="4" t="s">
        <v>349</v>
      </c>
      <c r="B98" s="4" t="s">
        <v>350</v>
      </c>
      <c r="C98" s="2" t="s">
        <v>61</v>
      </c>
      <c r="D98" s="4" t="s">
        <v>80</v>
      </c>
      <c r="E98" s="4" t="s">
        <v>81</v>
      </c>
      <c r="F98" s="4" t="s">
        <v>36</v>
      </c>
      <c r="G98" s="4" t="s">
        <v>351</v>
      </c>
      <c r="H98" s="4" t="s">
        <v>64</v>
      </c>
      <c r="I98" s="2"/>
    </row>
    <row r="99" spans="1:9" x14ac:dyDescent="0.3">
      <c r="A99" s="4">
        <v>1516</v>
      </c>
      <c r="B99" s="4" t="s">
        <v>352</v>
      </c>
      <c r="C99" s="2" t="s">
        <v>67</v>
      </c>
      <c r="D99" s="4" t="s">
        <v>41</v>
      </c>
      <c r="E99" s="4" t="s">
        <v>124</v>
      </c>
      <c r="F99" s="4" t="s">
        <v>36</v>
      </c>
      <c r="G99" s="4" t="s">
        <v>353</v>
      </c>
      <c r="H99" s="4" t="s">
        <v>157</v>
      </c>
      <c r="I99" s="2"/>
    </row>
    <row r="100" spans="1:9" x14ac:dyDescent="0.3">
      <c r="A100" s="5"/>
      <c r="B100" s="5"/>
      <c r="C100" s="6"/>
      <c r="D100" s="5"/>
      <c r="E100" s="5"/>
      <c r="F100" s="5"/>
      <c r="G100" s="5"/>
      <c r="H100" s="5"/>
      <c r="I100" s="6"/>
    </row>
    <row r="101" spans="1:9" x14ac:dyDescent="0.3">
      <c r="A101" s="4" t="s">
        <v>354</v>
      </c>
      <c r="B101" s="4" t="s">
        <v>355</v>
      </c>
      <c r="C101" s="2" t="s">
        <v>57</v>
      </c>
      <c r="D101" s="4" t="s">
        <v>47</v>
      </c>
      <c r="E101" s="4" t="s">
        <v>86</v>
      </c>
      <c r="F101" s="4" t="s">
        <v>36</v>
      </c>
      <c r="G101" s="4" t="s">
        <v>356</v>
      </c>
      <c r="H101" s="4" t="s">
        <v>38</v>
      </c>
      <c r="I101" s="2"/>
    </row>
    <row r="102" spans="1:9" x14ac:dyDescent="0.3">
      <c r="A102" s="4" t="s">
        <v>357</v>
      </c>
      <c r="B102" s="4" t="s">
        <v>358</v>
      </c>
      <c r="C102" s="2" t="s">
        <v>270</v>
      </c>
      <c r="D102" s="4" t="s">
        <v>26</v>
      </c>
      <c r="E102" s="4" t="s">
        <v>42</v>
      </c>
      <c r="F102" s="4" t="s">
        <v>28</v>
      </c>
      <c r="G102" s="4" t="s">
        <v>359</v>
      </c>
      <c r="H102" s="4" t="s">
        <v>126</v>
      </c>
      <c r="I102" s="2"/>
    </row>
    <row r="103" spans="1:9" x14ac:dyDescent="0.3">
      <c r="A103" s="4" t="s">
        <v>360</v>
      </c>
      <c r="B103" s="4" t="s">
        <v>361</v>
      </c>
      <c r="C103" s="2" t="s">
        <v>33</v>
      </c>
      <c r="D103" s="4" t="s">
        <v>34</v>
      </c>
      <c r="E103" s="4" t="s">
        <v>119</v>
      </c>
      <c r="F103" s="4" t="s">
        <v>36</v>
      </c>
      <c r="G103" s="4" t="s">
        <v>362</v>
      </c>
      <c r="H103" s="4" t="s">
        <v>38</v>
      </c>
      <c r="I103" s="2"/>
    </row>
    <row r="104" spans="1:9" x14ac:dyDescent="0.3">
      <c r="A104" s="4">
        <v>7029</v>
      </c>
      <c r="B104" s="4" t="s">
        <v>363</v>
      </c>
      <c r="C104" s="2" t="s">
        <v>132</v>
      </c>
      <c r="D104" s="4" t="s">
        <v>41</v>
      </c>
      <c r="E104" s="4" t="s">
        <v>62</v>
      </c>
      <c r="F104" s="4" t="s">
        <v>36</v>
      </c>
      <c r="G104" s="4" t="s">
        <v>364</v>
      </c>
      <c r="H104" s="4" t="s">
        <v>30</v>
      </c>
      <c r="I104" s="2"/>
    </row>
    <row r="105" spans="1:9" x14ac:dyDescent="0.3">
      <c r="A105" s="4" t="s">
        <v>365</v>
      </c>
      <c r="B105" s="4" t="s">
        <v>366</v>
      </c>
      <c r="C105" s="2" t="s">
        <v>33</v>
      </c>
      <c r="D105" s="4" t="s">
        <v>47</v>
      </c>
      <c r="E105" s="4" t="s">
        <v>75</v>
      </c>
      <c r="F105" s="4" t="s">
        <v>36</v>
      </c>
      <c r="G105" s="4" t="s">
        <v>367</v>
      </c>
      <c r="H105" s="4" t="s">
        <v>38</v>
      </c>
      <c r="I105" s="2"/>
    </row>
    <row r="106" spans="1:9" x14ac:dyDescent="0.3">
      <c r="A106" s="4" t="s">
        <v>368</v>
      </c>
      <c r="B106" s="4" t="s">
        <v>369</v>
      </c>
      <c r="C106" s="2" t="s">
        <v>370</v>
      </c>
      <c r="D106" s="4" t="s">
        <v>26</v>
      </c>
      <c r="E106" s="4" t="s">
        <v>69</v>
      </c>
      <c r="F106" s="4" t="s">
        <v>36</v>
      </c>
      <c r="G106" s="4" t="s">
        <v>371</v>
      </c>
      <c r="H106" s="4" t="s">
        <v>44</v>
      </c>
      <c r="I106" s="2"/>
    </row>
    <row r="107" spans="1:9" x14ac:dyDescent="0.3">
      <c r="A107" s="4" t="s">
        <v>372</v>
      </c>
      <c r="B107" s="4" t="s">
        <v>373</v>
      </c>
      <c r="C107" s="2" t="s">
        <v>33</v>
      </c>
      <c r="D107" s="4" t="s">
        <v>34</v>
      </c>
      <c r="E107" s="4" t="s">
        <v>86</v>
      </c>
      <c r="F107" s="4" t="s">
        <v>36</v>
      </c>
      <c r="G107" s="4" t="s">
        <v>374</v>
      </c>
      <c r="H107" s="4" t="s">
        <v>38</v>
      </c>
      <c r="I107" s="2"/>
    </row>
    <row r="108" spans="1:9" x14ac:dyDescent="0.3">
      <c r="A108" s="4">
        <v>24838</v>
      </c>
      <c r="B108" s="4" t="s">
        <v>375</v>
      </c>
      <c r="C108" s="2" t="s">
        <v>144</v>
      </c>
      <c r="D108" s="4" t="s">
        <v>41</v>
      </c>
      <c r="E108" s="4" t="s">
        <v>81</v>
      </c>
      <c r="F108" s="4" t="s">
        <v>28</v>
      </c>
      <c r="G108" s="4" t="s">
        <v>376</v>
      </c>
      <c r="H108" s="4" t="s">
        <v>55</v>
      </c>
      <c r="I108" s="2"/>
    </row>
    <row r="109" spans="1:9" x14ac:dyDescent="0.3">
      <c r="A109" s="4" t="s">
        <v>365</v>
      </c>
      <c r="B109" s="4" t="s">
        <v>377</v>
      </c>
      <c r="C109" s="2" t="s">
        <v>33</v>
      </c>
      <c r="D109" s="4" t="s">
        <v>47</v>
      </c>
      <c r="E109" s="4" t="s">
        <v>119</v>
      </c>
      <c r="F109" s="4" t="s">
        <v>36</v>
      </c>
      <c r="G109" s="4" t="s">
        <v>378</v>
      </c>
      <c r="H109" s="4" t="s">
        <v>38</v>
      </c>
      <c r="I109" s="2"/>
    </row>
    <row r="110" spans="1:9" x14ac:dyDescent="0.3">
      <c r="A110" s="4" t="s">
        <v>379</v>
      </c>
      <c r="B110" s="4" t="s">
        <v>380</v>
      </c>
      <c r="C110" s="2" t="s">
        <v>61</v>
      </c>
      <c r="D110" s="4" t="s">
        <v>26</v>
      </c>
      <c r="E110" s="4" t="s">
        <v>27</v>
      </c>
      <c r="F110" s="4" t="s">
        <v>36</v>
      </c>
      <c r="G110" s="4" t="s">
        <v>381</v>
      </c>
      <c r="H110" s="4" t="s">
        <v>64</v>
      </c>
      <c r="I110" s="2"/>
    </row>
    <row r="111" spans="1:9" x14ac:dyDescent="0.3">
      <c r="A111" s="4" t="s">
        <v>382</v>
      </c>
      <c r="B111" s="4" t="s">
        <v>383</v>
      </c>
      <c r="C111" s="2" t="s">
        <v>194</v>
      </c>
      <c r="D111" s="4" t="s">
        <v>80</v>
      </c>
      <c r="E111" s="4" t="s">
        <v>42</v>
      </c>
      <c r="F111" s="4" t="s">
        <v>36</v>
      </c>
      <c r="G111" s="4" t="s">
        <v>384</v>
      </c>
      <c r="H111" s="4" t="s">
        <v>71</v>
      </c>
      <c r="I111" s="2"/>
    </row>
    <row r="112" spans="1:9" x14ac:dyDescent="0.3">
      <c r="A112" s="4">
        <v>9500</v>
      </c>
      <c r="B112" s="4" t="s">
        <v>385</v>
      </c>
      <c r="C112" s="2" t="s">
        <v>33</v>
      </c>
      <c r="D112" s="4" t="s">
        <v>85</v>
      </c>
      <c r="E112" s="4" t="s">
        <v>129</v>
      </c>
      <c r="F112" s="4" t="s">
        <v>36</v>
      </c>
      <c r="G112" s="4" t="s">
        <v>386</v>
      </c>
      <c r="H112" s="4" t="s">
        <v>38</v>
      </c>
      <c r="I112" s="2"/>
    </row>
    <row r="113" spans="1:9" x14ac:dyDescent="0.3">
      <c r="A113" s="4" t="s">
        <v>387</v>
      </c>
      <c r="B113" s="4" t="s">
        <v>388</v>
      </c>
      <c r="C113" s="2" t="s">
        <v>79</v>
      </c>
      <c r="D113" s="4" t="s">
        <v>68</v>
      </c>
      <c r="E113" s="4" t="s">
        <v>53</v>
      </c>
      <c r="F113" s="4" t="s">
        <v>36</v>
      </c>
      <c r="G113" s="4" t="s">
        <v>389</v>
      </c>
      <c r="H113" s="4" t="s">
        <v>126</v>
      </c>
      <c r="I113" s="2"/>
    </row>
    <row r="114" spans="1:9" x14ac:dyDescent="0.3">
      <c r="A114" s="4" t="s">
        <v>390</v>
      </c>
      <c r="B114" s="4" t="s">
        <v>391</v>
      </c>
      <c r="C114" s="2" t="s">
        <v>33</v>
      </c>
      <c r="D114" s="4" t="s">
        <v>74</v>
      </c>
      <c r="E114" s="4" t="s">
        <v>159</v>
      </c>
      <c r="F114" s="4" t="s">
        <v>28</v>
      </c>
      <c r="G114" s="4" t="s">
        <v>392</v>
      </c>
      <c r="H114" s="4" t="s">
        <v>38</v>
      </c>
      <c r="I114" s="2"/>
    </row>
    <row r="115" spans="1:9" x14ac:dyDescent="0.3">
      <c r="A115" s="4" t="s">
        <v>393</v>
      </c>
      <c r="B115" s="4" t="s">
        <v>394</v>
      </c>
      <c r="C115" s="2" t="s">
        <v>171</v>
      </c>
      <c r="D115" s="4" t="s">
        <v>80</v>
      </c>
      <c r="E115" s="4" t="s">
        <v>69</v>
      </c>
      <c r="F115" s="4" t="s">
        <v>36</v>
      </c>
      <c r="G115" s="4" t="s">
        <v>395</v>
      </c>
      <c r="H115" s="4" t="s">
        <v>92</v>
      </c>
      <c r="I115" s="2"/>
    </row>
    <row r="116" spans="1:9" x14ac:dyDescent="0.3">
      <c r="A116" s="4">
        <v>9800</v>
      </c>
      <c r="B116" s="4" t="s">
        <v>396</v>
      </c>
      <c r="C116" s="2" t="s">
        <v>57</v>
      </c>
      <c r="D116" s="4" t="s">
        <v>85</v>
      </c>
      <c r="E116" s="4" t="s">
        <v>119</v>
      </c>
      <c r="F116" s="4" t="s">
        <v>36</v>
      </c>
      <c r="G116" s="4" t="s">
        <v>397</v>
      </c>
      <c r="H116" s="4" t="s">
        <v>38</v>
      </c>
      <c r="I116" s="2"/>
    </row>
    <row r="117" spans="1:9" x14ac:dyDescent="0.3">
      <c r="A117" s="4" t="s">
        <v>398</v>
      </c>
      <c r="B117" s="4" t="s">
        <v>399</v>
      </c>
      <c r="C117" s="2" t="s">
        <v>98</v>
      </c>
      <c r="D117" s="4" t="s">
        <v>68</v>
      </c>
      <c r="E117" s="4" t="s">
        <v>81</v>
      </c>
      <c r="F117" s="4" t="s">
        <v>36</v>
      </c>
      <c r="G117" s="4" t="s">
        <v>400</v>
      </c>
      <c r="H117" s="4" t="s">
        <v>44</v>
      </c>
      <c r="I117" s="2"/>
    </row>
    <row r="118" spans="1:9" x14ac:dyDescent="0.3">
      <c r="A118" s="4" t="s">
        <v>401</v>
      </c>
      <c r="B118" s="4" t="s">
        <v>402</v>
      </c>
      <c r="C118" s="2" t="s">
        <v>33</v>
      </c>
      <c r="D118" s="4" t="s">
        <v>74</v>
      </c>
      <c r="E118" s="4" t="s">
        <v>129</v>
      </c>
      <c r="F118" s="4" t="s">
        <v>36</v>
      </c>
      <c r="G118" s="4" t="s">
        <v>403</v>
      </c>
      <c r="H118" s="4" t="s">
        <v>103</v>
      </c>
      <c r="I118" s="2"/>
    </row>
    <row r="119" spans="1:9" x14ac:dyDescent="0.3">
      <c r="A119" s="4" t="s">
        <v>404</v>
      </c>
      <c r="B119" s="4" t="s">
        <v>405</v>
      </c>
      <c r="C119" s="2" t="s">
        <v>52</v>
      </c>
      <c r="D119" s="4" t="s">
        <v>80</v>
      </c>
      <c r="E119" s="4" t="s">
        <v>124</v>
      </c>
      <c r="F119" s="4" t="s">
        <v>36</v>
      </c>
      <c r="G119" s="4" t="s">
        <v>406</v>
      </c>
      <c r="H119" s="4" t="s">
        <v>55</v>
      </c>
      <c r="I119" s="2"/>
    </row>
    <row r="120" spans="1:9" x14ac:dyDescent="0.3">
      <c r="A120" s="4">
        <v>9800</v>
      </c>
      <c r="B120" s="4" t="s">
        <v>407</v>
      </c>
      <c r="C120" s="2" t="s">
        <v>33</v>
      </c>
      <c r="D120" s="4" t="s">
        <v>85</v>
      </c>
      <c r="E120" s="4" t="s">
        <v>159</v>
      </c>
      <c r="F120" s="4" t="s">
        <v>28</v>
      </c>
      <c r="G120" s="4" t="s">
        <v>408</v>
      </c>
      <c r="H120" s="4" t="s">
        <v>38</v>
      </c>
      <c r="I120" s="2"/>
    </row>
    <row r="121" spans="1:9" x14ac:dyDescent="0.3">
      <c r="A121" s="4" t="s">
        <v>409</v>
      </c>
      <c r="B121" s="4" t="s">
        <v>410</v>
      </c>
      <c r="C121" s="2" t="s">
        <v>225</v>
      </c>
      <c r="D121" s="4" t="s">
        <v>68</v>
      </c>
      <c r="E121" s="4" t="s">
        <v>42</v>
      </c>
      <c r="F121" s="4" t="s">
        <v>36</v>
      </c>
      <c r="G121" s="4" t="s">
        <v>411</v>
      </c>
      <c r="H121" s="4" t="s">
        <v>64</v>
      </c>
      <c r="I121" s="2"/>
    </row>
    <row r="122" spans="1:9" x14ac:dyDescent="0.3">
      <c r="A122" s="4" t="s">
        <v>412</v>
      </c>
      <c r="B122" s="4" t="s">
        <v>413</v>
      </c>
      <c r="C122" s="2" t="s">
        <v>114</v>
      </c>
      <c r="D122" s="4" t="s">
        <v>26</v>
      </c>
      <c r="E122" s="4" t="s">
        <v>53</v>
      </c>
      <c r="F122" s="4" t="s">
        <v>36</v>
      </c>
      <c r="G122" s="4" t="s">
        <v>414</v>
      </c>
      <c r="H122" s="4" t="s">
        <v>157</v>
      </c>
      <c r="I122" s="2"/>
    </row>
    <row r="123" spans="1:9" x14ac:dyDescent="0.3">
      <c r="A123" s="4" t="s">
        <v>415</v>
      </c>
      <c r="B123" s="4" t="s">
        <v>416</v>
      </c>
      <c r="C123" s="2" t="s">
        <v>33</v>
      </c>
      <c r="D123" s="4" t="s">
        <v>34</v>
      </c>
      <c r="E123" s="4" t="s">
        <v>417</v>
      </c>
      <c r="F123" s="4" t="s">
        <v>36</v>
      </c>
      <c r="G123" s="4" t="s">
        <v>418</v>
      </c>
      <c r="H123" s="4" t="s">
        <v>38</v>
      </c>
      <c r="I123" s="2"/>
    </row>
    <row r="124" spans="1:9" x14ac:dyDescent="0.3">
      <c r="A124" s="4">
        <v>790</v>
      </c>
      <c r="B124" s="4" t="s">
        <v>419</v>
      </c>
      <c r="C124" s="2" t="s">
        <v>79</v>
      </c>
      <c r="D124" s="4" t="s">
        <v>41</v>
      </c>
      <c r="E124" s="4" t="s">
        <v>62</v>
      </c>
      <c r="F124" s="4" t="s">
        <v>36</v>
      </c>
      <c r="G124" s="4" t="s">
        <v>420</v>
      </c>
      <c r="H124" s="4" t="s">
        <v>126</v>
      </c>
      <c r="I124" s="2"/>
    </row>
    <row r="125" spans="1:9" x14ac:dyDescent="0.3">
      <c r="A125" s="4" t="s">
        <v>421</v>
      </c>
      <c r="B125" s="4" t="s">
        <v>422</v>
      </c>
      <c r="C125" s="2" t="s">
        <v>33</v>
      </c>
      <c r="D125" s="4" t="s">
        <v>47</v>
      </c>
      <c r="E125" s="4" t="s">
        <v>198</v>
      </c>
      <c r="F125" s="4" t="s">
        <v>36</v>
      </c>
      <c r="G125" s="4" t="s">
        <v>423</v>
      </c>
      <c r="H125" s="4" t="s">
        <v>103</v>
      </c>
      <c r="I125" s="2"/>
    </row>
    <row r="126" spans="1:9" x14ac:dyDescent="0.3">
      <c r="A126" s="4" t="s">
        <v>424</v>
      </c>
      <c r="B126" s="4" t="s">
        <v>425</v>
      </c>
      <c r="C126" s="2" t="s">
        <v>243</v>
      </c>
      <c r="D126" s="4" t="s">
        <v>26</v>
      </c>
      <c r="E126" s="4" t="s">
        <v>81</v>
      </c>
      <c r="F126" s="4" t="s">
        <v>28</v>
      </c>
      <c r="G126" s="4" t="s">
        <v>426</v>
      </c>
      <c r="H126" s="4" t="s">
        <v>92</v>
      </c>
      <c r="I126" s="2"/>
    </row>
    <row r="127" spans="1:9" x14ac:dyDescent="0.3">
      <c r="A127" s="5"/>
      <c r="B127" s="5"/>
      <c r="C127" s="6"/>
      <c r="D127" s="5"/>
      <c r="E127" s="5"/>
      <c r="F127" s="5"/>
      <c r="G127" s="5"/>
      <c r="H127" s="5"/>
      <c r="I127" s="6"/>
    </row>
    <row r="128" spans="1:9" x14ac:dyDescent="0.3">
      <c r="A128" s="4" t="s">
        <v>427</v>
      </c>
      <c r="B128" s="4" t="s">
        <v>428</v>
      </c>
      <c r="C128" s="2" t="s">
        <v>33</v>
      </c>
      <c r="D128" s="4" t="s">
        <v>34</v>
      </c>
      <c r="E128" s="4" t="s">
        <v>159</v>
      </c>
      <c r="F128" s="4" t="s">
        <v>36</v>
      </c>
      <c r="G128" s="4" t="s">
        <v>429</v>
      </c>
      <c r="H128" s="4" t="s">
        <v>38</v>
      </c>
      <c r="I128" s="2"/>
    </row>
    <row r="129" spans="1:9" x14ac:dyDescent="0.3">
      <c r="A129" s="4">
        <v>10347</v>
      </c>
      <c r="B129" s="4" t="s">
        <v>430</v>
      </c>
      <c r="C129" s="2" t="s">
        <v>40</v>
      </c>
      <c r="D129" s="4" t="s">
        <v>41</v>
      </c>
      <c r="E129" s="4" t="s">
        <v>124</v>
      </c>
      <c r="F129" s="4" t="s">
        <v>36</v>
      </c>
      <c r="G129" s="4" t="s">
        <v>431</v>
      </c>
      <c r="H129" s="4" t="s">
        <v>44</v>
      </c>
      <c r="I129" s="2"/>
    </row>
    <row r="130" spans="1:9" x14ac:dyDescent="0.3">
      <c r="A130" s="4" t="s">
        <v>432</v>
      </c>
      <c r="B130" s="4" t="s">
        <v>433</v>
      </c>
      <c r="C130" s="2" t="s">
        <v>33</v>
      </c>
      <c r="D130" s="4" t="s">
        <v>47</v>
      </c>
      <c r="E130" s="4" t="s">
        <v>167</v>
      </c>
      <c r="F130" s="4" t="s">
        <v>36</v>
      </c>
      <c r="G130" s="4" t="s">
        <v>434</v>
      </c>
      <c r="H130" s="4" t="s">
        <v>38</v>
      </c>
      <c r="I130" s="2"/>
    </row>
    <row r="131" spans="1:9" x14ac:dyDescent="0.3">
      <c r="A131" s="4" t="s">
        <v>435</v>
      </c>
      <c r="B131" s="4" t="s">
        <v>436</v>
      </c>
      <c r="C131" s="2" t="s">
        <v>52</v>
      </c>
      <c r="D131" s="4" t="s">
        <v>26</v>
      </c>
      <c r="E131" s="4" t="s">
        <v>42</v>
      </c>
      <c r="F131" s="4" t="s">
        <v>36</v>
      </c>
      <c r="G131" s="4" t="s">
        <v>437</v>
      </c>
      <c r="H131" s="4" t="s">
        <v>55</v>
      </c>
      <c r="I131" s="2"/>
    </row>
    <row r="132" spans="1:9" x14ac:dyDescent="0.3">
      <c r="A132" s="4" t="s">
        <v>427</v>
      </c>
      <c r="B132" s="4" t="s">
        <v>438</v>
      </c>
      <c r="C132" s="2" t="s">
        <v>57</v>
      </c>
      <c r="D132" s="4" t="s">
        <v>34</v>
      </c>
      <c r="E132" s="4" t="s">
        <v>198</v>
      </c>
      <c r="F132" s="4" t="s">
        <v>36</v>
      </c>
      <c r="G132" s="4" t="s">
        <v>439</v>
      </c>
      <c r="H132" s="4" t="s">
        <v>38</v>
      </c>
      <c r="I132" s="2"/>
    </row>
    <row r="133" spans="1:9" x14ac:dyDescent="0.3">
      <c r="A133" s="4">
        <v>1194</v>
      </c>
      <c r="B133" s="4" t="s">
        <v>440</v>
      </c>
      <c r="C133" s="2" t="s">
        <v>151</v>
      </c>
      <c r="D133" s="4" t="s">
        <v>41</v>
      </c>
      <c r="E133" s="4" t="s">
        <v>53</v>
      </c>
      <c r="F133" s="4" t="s">
        <v>28</v>
      </c>
      <c r="G133" s="4" t="s">
        <v>441</v>
      </c>
      <c r="H133" s="4" t="s">
        <v>153</v>
      </c>
      <c r="I133" s="2"/>
    </row>
    <row r="134" spans="1:9" x14ac:dyDescent="0.3">
      <c r="A134" s="4" t="s">
        <v>442</v>
      </c>
      <c r="B134" s="4" t="s">
        <v>443</v>
      </c>
      <c r="C134" s="2" t="s">
        <v>67</v>
      </c>
      <c r="D134" s="4" t="s">
        <v>68</v>
      </c>
      <c r="E134" s="4" t="s">
        <v>62</v>
      </c>
      <c r="F134" s="4" t="s">
        <v>36</v>
      </c>
      <c r="G134" s="4" t="s">
        <v>444</v>
      </c>
      <c r="H134" s="4" t="s">
        <v>157</v>
      </c>
      <c r="I134" s="2"/>
    </row>
    <row r="135" spans="1:9" x14ac:dyDescent="0.3">
      <c r="A135" s="4" t="s">
        <v>445</v>
      </c>
      <c r="B135" s="4" t="s">
        <v>446</v>
      </c>
      <c r="C135" s="2" t="s">
        <v>33</v>
      </c>
      <c r="D135" s="4" t="s">
        <v>74</v>
      </c>
      <c r="E135" s="4" t="s">
        <v>205</v>
      </c>
      <c r="F135" s="4" t="s">
        <v>36</v>
      </c>
      <c r="G135" s="4" t="s">
        <v>447</v>
      </c>
      <c r="H135" s="4" t="s">
        <v>38</v>
      </c>
      <c r="I135" s="2"/>
    </row>
    <row r="136" spans="1:9" x14ac:dyDescent="0.3">
      <c r="A136" s="4" t="s">
        <v>448</v>
      </c>
      <c r="B136" s="4" t="s">
        <v>449</v>
      </c>
      <c r="C136" s="2" t="s">
        <v>79</v>
      </c>
      <c r="D136" s="4" t="s">
        <v>80</v>
      </c>
      <c r="E136" s="4" t="s">
        <v>69</v>
      </c>
      <c r="F136" s="4" t="s">
        <v>36</v>
      </c>
      <c r="G136" s="4" t="s">
        <v>450</v>
      </c>
      <c r="H136" s="4" t="s">
        <v>126</v>
      </c>
      <c r="I136" s="2"/>
    </row>
    <row r="137" spans="1:9" x14ac:dyDescent="0.3">
      <c r="A137" s="4">
        <v>10400</v>
      </c>
      <c r="B137" s="4" t="s">
        <v>451</v>
      </c>
      <c r="C137" s="2" t="s">
        <v>57</v>
      </c>
      <c r="D137" s="4" t="s">
        <v>85</v>
      </c>
      <c r="E137" s="4" t="s">
        <v>233</v>
      </c>
      <c r="F137" s="4" t="s">
        <v>36</v>
      </c>
      <c r="G137" s="4" t="s">
        <v>452</v>
      </c>
      <c r="H137" s="4" t="s">
        <v>38</v>
      </c>
      <c r="I137" s="2"/>
    </row>
    <row r="138" spans="1:9" x14ac:dyDescent="0.3">
      <c r="A138" s="7" t="s">
        <v>72</v>
      </c>
      <c r="B138" s="7" t="s">
        <v>453</v>
      </c>
      <c r="C138" s="8" t="s">
        <v>33</v>
      </c>
      <c r="D138" s="7" t="s">
        <v>34</v>
      </c>
      <c r="E138" s="7" t="s">
        <v>58</v>
      </c>
      <c r="F138" s="7" t="s">
        <v>36</v>
      </c>
      <c r="G138" s="7" t="s">
        <v>59</v>
      </c>
      <c r="H138" s="7" t="s">
        <v>38</v>
      </c>
      <c r="I138" s="8"/>
    </row>
    <row r="139" spans="1:9" x14ac:dyDescent="0.3">
      <c r="A139" s="7" t="s">
        <v>454</v>
      </c>
      <c r="B139" s="7" t="s">
        <v>455</v>
      </c>
      <c r="C139" s="8" t="s">
        <v>67</v>
      </c>
      <c r="D139" s="7" t="s">
        <v>80</v>
      </c>
      <c r="E139" s="7" t="s">
        <v>124</v>
      </c>
      <c r="F139" s="7" t="s">
        <v>36</v>
      </c>
      <c r="G139" s="7" t="s">
        <v>156</v>
      </c>
      <c r="H139" s="7" t="s">
        <v>157</v>
      </c>
      <c r="I139" s="8"/>
    </row>
    <row r="140" spans="1:9" x14ac:dyDescent="0.3">
      <c r="A140" s="7" t="s">
        <v>456</v>
      </c>
      <c r="B140" s="7" t="s">
        <v>457</v>
      </c>
      <c r="C140" s="8" t="s">
        <v>98</v>
      </c>
      <c r="D140" s="7" t="s">
        <v>80</v>
      </c>
      <c r="E140" s="7" t="s">
        <v>124</v>
      </c>
      <c r="F140" s="7" t="s">
        <v>36</v>
      </c>
      <c r="G140" s="7" t="s">
        <v>250</v>
      </c>
      <c r="H140" s="7" t="s">
        <v>44</v>
      </c>
      <c r="I140" s="8"/>
    </row>
    <row r="141" spans="1:9" x14ac:dyDescent="0.3">
      <c r="A141" s="7" t="s">
        <v>336</v>
      </c>
      <c r="B141" s="7" t="s">
        <v>458</v>
      </c>
      <c r="C141" s="8" t="s">
        <v>33</v>
      </c>
      <c r="D141" s="7" t="s">
        <v>34</v>
      </c>
      <c r="E141" s="7" t="s">
        <v>48</v>
      </c>
      <c r="F141" s="7" t="s">
        <v>36</v>
      </c>
      <c r="G141" s="7" t="s">
        <v>338</v>
      </c>
      <c r="H141" s="7" t="s">
        <v>38</v>
      </c>
      <c r="I141" s="8"/>
    </row>
  </sheetData>
  <autoFilter ref="A1:I141"/>
  <pageMargins left="0.75" right="0.75" top="1" bottom="1" header="0.5" footer="0.5"/>
  <pageSetup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32"/>
  <sheetViews>
    <sheetView showGridLines="0" zoomScale="90" workbookViewId="0">
      <pane ySplit="1" topLeftCell="A2" activePane="bottomLeft" state="frozen"/>
      <selection pane="bottomLeft" activeCell="O22" sqref="O22"/>
    </sheetView>
  </sheetViews>
  <sheetFormatPr defaultRowHeight="14.4" x14ac:dyDescent="0.3"/>
  <cols>
    <col min="1" max="1" width="18" customWidth="1"/>
    <col min="2" max="3" width="12" customWidth="1"/>
    <col min="4" max="4" width="27" customWidth="1"/>
    <col min="5" max="5" width="26" customWidth="1"/>
    <col min="6" max="6" width="29" customWidth="1"/>
    <col min="7" max="7" width="14" customWidth="1"/>
    <col min="8" max="8" width="13" customWidth="1"/>
    <col min="9" max="9" width="15" customWidth="1"/>
  </cols>
  <sheetData>
    <row r="1" spans="1:9" ht="30" customHeight="1" x14ac:dyDescent="0.3">
      <c r="A1" s="3" t="s">
        <v>459</v>
      </c>
      <c r="B1" s="3" t="s">
        <v>460</v>
      </c>
      <c r="C1" s="3" t="s">
        <v>461</v>
      </c>
      <c r="D1" s="3" t="s">
        <v>462</v>
      </c>
      <c r="E1" s="3" t="s">
        <v>463</v>
      </c>
      <c r="F1" s="3" t="s">
        <v>464</v>
      </c>
      <c r="G1" s="3" t="s">
        <v>465</v>
      </c>
      <c r="H1" s="3" t="s">
        <v>466</v>
      </c>
      <c r="I1" s="3" t="s">
        <v>467</v>
      </c>
    </row>
    <row r="2" spans="1:9" x14ac:dyDescent="0.3">
      <c r="A2" s="9">
        <v>45665</v>
      </c>
      <c r="B2" s="10" t="s">
        <v>468</v>
      </c>
      <c r="C2" s="10" t="s">
        <v>26</v>
      </c>
      <c r="D2" s="10" t="s">
        <v>124</v>
      </c>
      <c r="E2" s="10" t="s">
        <v>92</v>
      </c>
      <c r="F2" s="10" t="s">
        <v>171</v>
      </c>
      <c r="G2" s="11">
        <v>29555</v>
      </c>
      <c r="H2" s="10" t="s">
        <v>29</v>
      </c>
      <c r="I2" s="10" t="s">
        <v>469</v>
      </c>
    </row>
    <row r="3" spans="1:9" x14ac:dyDescent="0.3">
      <c r="A3" s="9">
        <v>45665</v>
      </c>
      <c r="B3" s="10" t="s">
        <v>468</v>
      </c>
      <c r="C3" s="10" t="s">
        <v>74</v>
      </c>
      <c r="D3" s="10" t="s">
        <v>35</v>
      </c>
      <c r="E3" s="10" t="s">
        <v>38</v>
      </c>
      <c r="F3" s="10" t="s">
        <v>33</v>
      </c>
      <c r="G3" s="11">
        <v>6400</v>
      </c>
      <c r="H3" s="10" t="s">
        <v>37</v>
      </c>
      <c r="I3" s="10" t="s">
        <v>469</v>
      </c>
    </row>
    <row r="4" spans="1:9" x14ac:dyDescent="0.3">
      <c r="A4" s="9">
        <v>45668</v>
      </c>
      <c r="B4" s="10" t="s">
        <v>468</v>
      </c>
      <c r="C4" s="10" t="s">
        <v>26</v>
      </c>
      <c r="D4" s="10" t="s">
        <v>42</v>
      </c>
      <c r="E4" s="10" t="s">
        <v>44</v>
      </c>
      <c r="F4" s="10" t="s">
        <v>40</v>
      </c>
      <c r="G4" s="11">
        <v>1039</v>
      </c>
      <c r="H4" s="10" t="s">
        <v>43</v>
      </c>
      <c r="I4" s="10" t="s">
        <v>469</v>
      </c>
    </row>
    <row r="5" spans="1:9" x14ac:dyDescent="0.3">
      <c r="A5" s="9">
        <v>45669</v>
      </c>
      <c r="B5" s="10" t="s">
        <v>468</v>
      </c>
      <c r="C5" s="10" t="s">
        <v>74</v>
      </c>
      <c r="D5" s="10" t="s">
        <v>48</v>
      </c>
      <c r="E5" s="10" t="s">
        <v>38</v>
      </c>
      <c r="F5" s="10" t="s">
        <v>33</v>
      </c>
      <c r="G5" s="11">
        <v>6400</v>
      </c>
      <c r="H5" s="10" t="s">
        <v>49</v>
      </c>
      <c r="I5" s="10" t="s">
        <v>469</v>
      </c>
    </row>
    <row r="6" spans="1:9" x14ac:dyDescent="0.3">
      <c r="A6" s="9">
        <v>45671</v>
      </c>
      <c r="B6" s="10" t="s">
        <v>468</v>
      </c>
      <c r="C6" s="10" t="s">
        <v>26</v>
      </c>
      <c r="D6" s="10" t="s">
        <v>53</v>
      </c>
      <c r="E6" s="10" t="s">
        <v>55</v>
      </c>
      <c r="F6" s="10" t="s">
        <v>52</v>
      </c>
      <c r="G6" s="11">
        <v>292</v>
      </c>
      <c r="H6" s="10" t="s">
        <v>54</v>
      </c>
      <c r="I6" s="10" t="s">
        <v>469</v>
      </c>
    </row>
    <row r="7" spans="1:9" x14ac:dyDescent="0.3">
      <c r="A7" s="9">
        <v>45673</v>
      </c>
      <c r="B7" s="10" t="s">
        <v>468</v>
      </c>
      <c r="C7" s="10" t="s">
        <v>74</v>
      </c>
      <c r="D7" s="10" t="s">
        <v>58</v>
      </c>
      <c r="E7" s="10" t="s">
        <v>38</v>
      </c>
      <c r="F7" s="10" t="s">
        <v>33</v>
      </c>
      <c r="G7" s="11">
        <v>6400</v>
      </c>
      <c r="H7" s="10" t="s">
        <v>59</v>
      </c>
      <c r="I7" s="10" t="s">
        <v>469</v>
      </c>
    </row>
    <row r="8" spans="1:9" x14ac:dyDescent="0.3">
      <c r="A8" s="9">
        <v>45674</v>
      </c>
      <c r="B8" s="10" t="s">
        <v>468</v>
      </c>
      <c r="C8" s="10" t="s">
        <v>26</v>
      </c>
      <c r="D8" s="10" t="s">
        <v>62</v>
      </c>
      <c r="E8" s="10" t="s">
        <v>64</v>
      </c>
      <c r="F8" s="10" t="s">
        <v>61</v>
      </c>
      <c r="G8" s="11">
        <v>205</v>
      </c>
      <c r="H8" s="10" t="s">
        <v>63</v>
      </c>
      <c r="I8" s="10" t="s">
        <v>469</v>
      </c>
    </row>
    <row r="9" spans="1:9" x14ac:dyDescent="0.3">
      <c r="A9" s="9">
        <v>45677</v>
      </c>
      <c r="B9" s="10" t="s">
        <v>468</v>
      </c>
      <c r="C9" s="10" t="s">
        <v>26</v>
      </c>
      <c r="D9" s="10" t="s">
        <v>69</v>
      </c>
      <c r="E9" s="10" t="s">
        <v>157</v>
      </c>
      <c r="F9" s="10" t="s">
        <v>67</v>
      </c>
      <c r="G9" s="11">
        <v>2000</v>
      </c>
      <c r="H9" s="10" t="s">
        <v>70</v>
      </c>
      <c r="I9" s="10" t="s">
        <v>469</v>
      </c>
    </row>
    <row r="10" spans="1:9" x14ac:dyDescent="0.3">
      <c r="A10" s="9">
        <v>45677</v>
      </c>
      <c r="B10" s="10" t="s">
        <v>468</v>
      </c>
      <c r="C10" s="10" t="s">
        <v>74</v>
      </c>
      <c r="D10" s="10" t="s">
        <v>75</v>
      </c>
      <c r="E10" s="10" t="s">
        <v>38</v>
      </c>
      <c r="F10" s="10" t="s">
        <v>33</v>
      </c>
      <c r="G10" s="11">
        <v>6400</v>
      </c>
      <c r="H10" s="10" t="s">
        <v>76</v>
      </c>
      <c r="I10" s="10" t="s">
        <v>469</v>
      </c>
    </row>
    <row r="11" spans="1:9" x14ac:dyDescent="0.3">
      <c r="A11" s="9">
        <v>45680</v>
      </c>
      <c r="B11" s="10" t="s">
        <v>468</v>
      </c>
      <c r="C11" s="10" t="s">
        <v>26</v>
      </c>
      <c r="D11" s="10" t="s">
        <v>81</v>
      </c>
      <c r="E11" s="10" t="s">
        <v>126</v>
      </c>
      <c r="F11" s="10" t="s">
        <v>79</v>
      </c>
      <c r="G11" s="11">
        <v>39</v>
      </c>
      <c r="H11" s="10" t="s">
        <v>82</v>
      </c>
      <c r="I11" s="10" t="s">
        <v>469</v>
      </c>
    </row>
    <row r="12" spans="1:9" x14ac:dyDescent="0.3">
      <c r="A12" s="9">
        <v>45681</v>
      </c>
      <c r="B12" s="10" t="s">
        <v>468</v>
      </c>
      <c r="C12" s="10" t="s">
        <v>74</v>
      </c>
      <c r="D12" s="10" t="s">
        <v>86</v>
      </c>
      <c r="E12" s="10" t="s">
        <v>38</v>
      </c>
      <c r="F12" s="10" t="s">
        <v>33</v>
      </c>
      <c r="G12" s="11">
        <v>6400</v>
      </c>
      <c r="H12" s="10" t="s">
        <v>87</v>
      </c>
      <c r="I12" s="10" t="s">
        <v>469</v>
      </c>
    </row>
    <row r="13" spans="1:9" x14ac:dyDescent="0.3">
      <c r="A13" s="9">
        <v>45696</v>
      </c>
      <c r="B13" s="10" t="s">
        <v>470</v>
      </c>
      <c r="C13" s="10" t="s">
        <v>26</v>
      </c>
      <c r="D13" s="10" t="s">
        <v>42</v>
      </c>
      <c r="E13" s="10" t="s">
        <v>92</v>
      </c>
      <c r="F13" s="10" t="s">
        <v>90</v>
      </c>
      <c r="G13" s="11">
        <v>24380</v>
      </c>
      <c r="H13" s="10" t="s">
        <v>91</v>
      </c>
      <c r="I13" s="10" t="s">
        <v>469</v>
      </c>
    </row>
    <row r="14" spans="1:9" x14ac:dyDescent="0.3">
      <c r="A14" s="9">
        <v>45696</v>
      </c>
      <c r="B14" s="10" t="s">
        <v>470</v>
      </c>
      <c r="C14" s="10" t="s">
        <v>74</v>
      </c>
      <c r="D14" s="10" t="s">
        <v>58</v>
      </c>
      <c r="E14" s="10" t="s">
        <v>38</v>
      </c>
      <c r="F14" s="10" t="s">
        <v>33</v>
      </c>
      <c r="G14" s="11">
        <v>7000</v>
      </c>
      <c r="H14" s="10" t="s">
        <v>95</v>
      </c>
      <c r="I14" s="10" t="s">
        <v>469</v>
      </c>
    </row>
    <row r="15" spans="1:9" x14ac:dyDescent="0.3">
      <c r="A15" s="9">
        <v>45699</v>
      </c>
      <c r="B15" s="10" t="s">
        <v>470</v>
      </c>
      <c r="C15" s="10" t="s">
        <v>26</v>
      </c>
      <c r="D15" s="10" t="s">
        <v>53</v>
      </c>
      <c r="E15" s="10" t="s">
        <v>44</v>
      </c>
      <c r="F15" s="10" t="s">
        <v>98</v>
      </c>
      <c r="G15" s="11">
        <v>2060</v>
      </c>
      <c r="H15" s="10" t="s">
        <v>100</v>
      </c>
      <c r="I15" s="10" t="s">
        <v>469</v>
      </c>
    </row>
    <row r="16" spans="1:9" x14ac:dyDescent="0.3">
      <c r="A16" s="9">
        <v>45700</v>
      </c>
      <c r="B16" s="10" t="s">
        <v>470</v>
      </c>
      <c r="C16" s="10" t="s">
        <v>74</v>
      </c>
      <c r="D16" s="10" t="s">
        <v>75</v>
      </c>
      <c r="E16" s="10" t="s">
        <v>38</v>
      </c>
      <c r="F16" s="10" t="s">
        <v>33</v>
      </c>
      <c r="G16" s="11">
        <v>7000</v>
      </c>
      <c r="H16" s="10" t="s">
        <v>102</v>
      </c>
      <c r="I16" s="10" t="s">
        <v>469</v>
      </c>
    </row>
    <row r="17" spans="1:9" x14ac:dyDescent="0.3">
      <c r="A17" s="9">
        <v>45702</v>
      </c>
      <c r="B17" s="10" t="s">
        <v>470</v>
      </c>
      <c r="C17" s="10" t="s">
        <v>26</v>
      </c>
      <c r="D17" s="10" t="s">
        <v>62</v>
      </c>
      <c r="E17" s="10" t="s">
        <v>55</v>
      </c>
      <c r="F17" s="10" t="s">
        <v>52</v>
      </c>
      <c r="G17" s="11">
        <v>7</v>
      </c>
      <c r="H17" s="10" t="s">
        <v>107</v>
      </c>
      <c r="I17" s="10" t="s">
        <v>469</v>
      </c>
    </row>
    <row r="18" spans="1:9" x14ac:dyDescent="0.3">
      <c r="A18" s="9">
        <v>45704</v>
      </c>
      <c r="B18" s="10" t="s">
        <v>470</v>
      </c>
      <c r="C18" s="10" t="s">
        <v>74</v>
      </c>
      <c r="D18" s="10" t="s">
        <v>86</v>
      </c>
      <c r="E18" s="10" t="s">
        <v>38</v>
      </c>
      <c r="F18" s="10" t="s">
        <v>33</v>
      </c>
      <c r="G18" s="11">
        <v>7000</v>
      </c>
      <c r="H18" s="10" t="s">
        <v>109</v>
      </c>
      <c r="I18" s="10" t="s">
        <v>469</v>
      </c>
    </row>
    <row r="19" spans="1:9" x14ac:dyDescent="0.3">
      <c r="A19" s="9">
        <v>45705</v>
      </c>
      <c r="B19" s="10" t="s">
        <v>470</v>
      </c>
      <c r="C19" s="10" t="s">
        <v>26</v>
      </c>
      <c r="D19" s="10" t="s">
        <v>69</v>
      </c>
      <c r="E19" s="10" t="s">
        <v>64</v>
      </c>
      <c r="F19" s="10" t="s">
        <v>61</v>
      </c>
      <c r="G19" s="11">
        <v>5337</v>
      </c>
      <c r="H19" s="10" t="s">
        <v>112</v>
      </c>
      <c r="I19" s="10" t="s">
        <v>469</v>
      </c>
    </row>
    <row r="20" spans="1:9" x14ac:dyDescent="0.3">
      <c r="A20" s="9">
        <v>45708</v>
      </c>
      <c r="B20" s="10" t="s">
        <v>470</v>
      </c>
      <c r="C20" s="10" t="s">
        <v>26</v>
      </c>
      <c r="D20" s="10" t="s">
        <v>81</v>
      </c>
      <c r="E20" s="10" t="s">
        <v>157</v>
      </c>
      <c r="F20" s="10" t="s">
        <v>114</v>
      </c>
      <c r="G20" s="11">
        <v>1152</v>
      </c>
      <c r="H20" s="10" t="s">
        <v>115</v>
      </c>
      <c r="I20" s="10" t="s">
        <v>469</v>
      </c>
    </row>
    <row r="21" spans="1:9" x14ac:dyDescent="0.3">
      <c r="A21" s="9">
        <v>45708</v>
      </c>
      <c r="B21" s="10" t="s">
        <v>470</v>
      </c>
      <c r="C21" s="10" t="s">
        <v>74</v>
      </c>
      <c r="D21" s="10" t="s">
        <v>119</v>
      </c>
      <c r="E21" s="10" t="s">
        <v>38</v>
      </c>
      <c r="F21" s="10" t="s">
        <v>33</v>
      </c>
      <c r="G21" s="11">
        <v>7000</v>
      </c>
      <c r="H21" s="10" t="s">
        <v>120</v>
      </c>
      <c r="I21" s="10" t="s">
        <v>469</v>
      </c>
    </row>
    <row r="22" spans="1:9" x14ac:dyDescent="0.3">
      <c r="A22" s="9">
        <v>45711</v>
      </c>
      <c r="B22" s="10" t="s">
        <v>470</v>
      </c>
      <c r="C22" s="10" t="s">
        <v>26</v>
      </c>
      <c r="D22" s="10" t="s">
        <v>124</v>
      </c>
      <c r="E22" s="10" t="s">
        <v>126</v>
      </c>
      <c r="F22" s="10" t="s">
        <v>270</v>
      </c>
      <c r="G22" s="11">
        <v>1699</v>
      </c>
      <c r="H22" s="10" t="s">
        <v>125</v>
      </c>
      <c r="I22" s="10" t="s">
        <v>469</v>
      </c>
    </row>
    <row r="23" spans="1:9" x14ac:dyDescent="0.3">
      <c r="A23" s="9">
        <v>45712</v>
      </c>
      <c r="B23" s="10" t="s">
        <v>470</v>
      </c>
      <c r="C23" s="10" t="s">
        <v>74</v>
      </c>
      <c r="D23" s="10" t="s">
        <v>129</v>
      </c>
      <c r="E23" s="10" t="s">
        <v>38</v>
      </c>
      <c r="F23" s="10" t="s">
        <v>33</v>
      </c>
      <c r="G23" s="11">
        <v>7000</v>
      </c>
      <c r="H23" s="10" t="s">
        <v>130</v>
      </c>
      <c r="I23" s="10" t="s">
        <v>469</v>
      </c>
    </row>
    <row r="24" spans="1:9" x14ac:dyDescent="0.3">
      <c r="A24" s="9">
        <v>45724</v>
      </c>
      <c r="B24" s="10" t="s">
        <v>471</v>
      </c>
      <c r="C24" s="10" t="s">
        <v>26</v>
      </c>
      <c r="D24" s="10" t="s">
        <v>53</v>
      </c>
      <c r="E24" s="10" t="s">
        <v>92</v>
      </c>
      <c r="F24" s="10" t="s">
        <v>132</v>
      </c>
      <c r="G24" s="11">
        <v>15240</v>
      </c>
      <c r="H24" s="10" t="s">
        <v>133</v>
      </c>
      <c r="I24" s="10" t="s">
        <v>469</v>
      </c>
    </row>
    <row r="25" spans="1:9" x14ac:dyDescent="0.3">
      <c r="A25" s="9">
        <v>45724</v>
      </c>
      <c r="B25" s="10" t="s">
        <v>471</v>
      </c>
      <c r="C25" s="10" t="s">
        <v>74</v>
      </c>
      <c r="D25" s="10" t="s">
        <v>86</v>
      </c>
      <c r="E25" s="10" t="s">
        <v>38</v>
      </c>
      <c r="F25" s="10" t="s">
        <v>33</v>
      </c>
      <c r="G25" s="11">
        <v>7400</v>
      </c>
      <c r="H25" s="10" t="s">
        <v>136</v>
      </c>
      <c r="I25" s="10" t="s">
        <v>469</v>
      </c>
    </row>
    <row r="26" spans="1:9" x14ac:dyDescent="0.3">
      <c r="A26" s="9">
        <v>45727</v>
      </c>
      <c r="B26" s="10" t="s">
        <v>471</v>
      </c>
      <c r="C26" s="10" t="s">
        <v>26</v>
      </c>
      <c r="D26" s="10" t="s">
        <v>62</v>
      </c>
      <c r="E26" s="10" t="s">
        <v>44</v>
      </c>
      <c r="F26" s="10" t="s">
        <v>40</v>
      </c>
      <c r="G26" s="11">
        <v>14047</v>
      </c>
      <c r="H26" s="10" t="s">
        <v>139</v>
      </c>
      <c r="I26" s="10" t="s">
        <v>469</v>
      </c>
    </row>
    <row r="27" spans="1:9" x14ac:dyDescent="0.3">
      <c r="A27" s="9">
        <v>45728</v>
      </c>
      <c r="B27" s="10" t="s">
        <v>471</v>
      </c>
      <c r="C27" s="10" t="s">
        <v>74</v>
      </c>
      <c r="D27" s="10" t="s">
        <v>119</v>
      </c>
      <c r="E27" s="10" t="s">
        <v>38</v>
      </c>
      <c r="F27" s="10" t="s">
        <v>33</v>
      </c>
      <c r="G27" s="11">
        <v>7400</v>
      </c>
      <c r="H27" s="10" t="s">
        <v>142</v>
      </c>
      <c r="I27" s="10" t="s">
        <v>469</v>
      </c>
    </row>
    <row r="28" spans="1:9" x14ac:dyDescent="0.3">
      <c r="A28" s="9">
        <v>45730</v>
      </c>
      <c r="B28" s="10" t="s">
        <v>471</v>
      </c>
      <c r="C28" s="10" t="s">
        <v>26</v>
      </c>
      <c r="D28" s="10" t="s">
        <v>69</v>
      </c>
      <c r="E28" s="10" t="s">
        <v>55</v>
      </c>
      <c r="F28" s="10" t="s">
        <v>144</v>
      </c>
      <c r="G28" s="11">
        <v>1166</v>
      </c>
      <c r="H28" s="10" t="s">
        <v>146</v>
      </c>
      <c r="I28" s="10" t="s">
        <v>469</v>
      </c>
    </row>
    <row r="29" spans="1:9" x14ac:dyDescent="0.3">
      <c r="A29" s="9">
        <v>45732</v>
      </c>
      <c r="B29" s="10" t="s">
        <v>471</v>
      </c>
      <c r="C29" s="10" t="s">
        <v>74</v>
      </c>
      <c r="D29" s="10" t="s">
        <v>129</v>
      </c>
      <c r="E29" s="10" t="s">
        <v>38</v>
      </c>
      <c r="F29" s="10" t="s">
        <v>33</v>
      </c>
      <c r="G29" s="11">
        <v>7400</v>
      </c>
      <c r="H29" s="10" t="s">
        <v>148</v>
      </c>
      <c r="I29" s="10" t="s">
        <v>469</v>
      </c>
    </row>
    <row r="30" spans="1:9" x14ac:dyDescent="0.3">
      <c r="A30" s="9">
        <v>45733</v>
      </c>
      <c r="B30" s="10" t="s">
        <v>471</v>
      </c>
      <c r="C30" s="10" t="s">
        <v>26</v>
      </c>
      <c r="D30" s="10" t="s">
        <v>81</v>
      </c>
      <c r="E30" s="10" t="s">
        <v>64</v>
      </c>
      <c r="F30" s="10" t="s">
        <v>151</v>
      </c>
      <c r="G30" s="11">
        <v>413</v>
      </c>
      <c r="H30" s="10" t="s">
        <v>152</v>
      </c>
      <c r="I30" s="10" t="s">
        <v>469</v>
      </c>
    </row>
    <row r="31" spans="1:9" x14ac:dyDescent="0.3">
      <c r="A31" s="9">
        <v>45736</v>
      </c>
      <c r="B31" s="10" t="s">
        <v>471</v>
      </c>
      <c r="C31" s="10" t="s">
        <v>26</v>
      </c>
      <c r="D31" s="10" t="s">
        <v>124</v>
      </c>
      <c r="E31" s="10" t="s">
        <v>157</v>
      </c>
      <c r="F31" s="10" t="s">
        <v>67</v>
      </c>
      <c r="G31" s="11">
        <v>1856</v>
      </c>
      <c r="H31" s="10" t="s">
        <v>156</v>
      </c>
      <c r="I31" s="10" t="s">
        <v>469</v>
      </c>
    </row>
    <row r="32" spans="1:9" x14ac:dyDescent="0.3">
      <c r="A32" s="9">
        <v>45736</v>
      </c>
      <c r="B32" s="10" t="s">
        <v>471</v>
      </c>
      <c r="C32" s="10" t="s">
        <v>74</v>
      </c>
      <c r="D32" s="10" t="s">
        <v>159</v>
      </c>
      <c r="E32" s="10" t="s">
        <v>38</v>
      </c>
      <c r="F32" s="10" t="s">
        <v>33</v>
      </c>
      <c r="G32" s="11">
        <v>7400</v>
      </c>
      <c r="H32" s="10" t="s">
        <v>160</v>
      </c>
      <c r="I32" s="10" t="s">
        <v>469</v>
      </c>
    </row>
    <row r="33" spans="1:9" x14ac:dyDescent="0.3">
      <c r="A33" s="9">
        <v>45739</v>
      </c>
      <c r="B33" s="10" t="s">
        <v>471</v>
      </c>
      <c r="C33" s="10" t="s">
        <v>26</v>
      </c>
      <c r="D33" s="10" t="s">
        <v>42</v>
      </c>
      <c r="E33" s="10" t="s">
        <v>126</v>
      </c>
      <c r="F33" s="10" t="s">
        <v>163</v>
      </c>
      <c r="G33" s="11">
        <v>2427</v>
      </c>
      <c r="H33" s="10" t="s">
        <v>164</v>
      </c>
      <c r="I33" s="10" t="s">
        <v>469</v>
      </c>
    </row>
    <row r="34" spans="1:9" x14ac:dyDescent="0.3">
      <c r="A34" s="9">
        <v>45740</v>
      </c>
      <c r="B34" s="10" t="s">
        <v>471</v>
      </c>
      <c r="C34" s="10" t="s">
        <v>74</v>
      </c>
      <c r="D34" s="10" t="s">
        <v>167</v>
      </c>
      <c r="E34" s="10" t="s">
        <v>38</v>
      </c>
      <c r="F34" s="10" t="s">
        <v>33</v>
      </c>
      <c r="G34" s="11">
        <v>7400</v>
      </c>
      <c r="H34" s="10" t="s">
        <v>168</v>
      </c>
      <c r="I34" s="10" t="s">
        <v>469</v>
      </c>
    </row>
    <row r="35" spans="1:9" x14ac:dyDescent="0.3">
      <c r="A35" s="9">
        <v>45755</v>
      </c>
      <c r="B35" s="10" t="s">
        <v>472</v>
      </c>
      <c r="C35" s="10" t="s">
        <v>26</v>
      </c>
      <c r="D35" s="10" t="s">
        <v>62</v>
      </c>
      <c r="E35" s="10" t="s">
        <v>92</v>
      </c>
      <c r="F35" s="10" t="s">
        <v>171</v>
      </c>
      <c r="G35" s="11">
        <v>22674</v>
      </c>
      <c r="H35" s="10" t="s">
        <v>172</v>
      </c>
      <c r="I35" s="10" t="s">
        <v>469</v>
      </c>
    </row>
    <row r="36" spans="1:9" x14ac:dyDescent="0.3">
      <c r="A36" s="9">
        <v>45755</v>
      </c>
      <c r="B36" s="10" t="s">
        <v>472</v>
      </c>
      <c r="C36" s="10" t="s">
        <v>74</v>
      </c>
      <c r="D36" s="10" t="s">
        <v>129</v>
      </c>
      <c r="E36" s="10" t="s">
        <v>38</v>
      </c>
      <c r="F36" s="10" t="s">
        <v>33</v>
      </c>
      <c r="G36" s="11">
        <v>7600</v>
      </c>
      <c r="H36" s="10" t="s">
        <v>174</v>
      </c>
      <c r="I36" s="10" t="s">
        <v>469</v>
      </c>
    </row>
    <row r="37" spans="1:9" x14ac:dyDescent="0.3">
      <c r="A37" s="9">
        <v>45758</v>
      </c>
      <c r="B37" s="10" t="s">
        <v>472</v>
      </c>
      <c r="C37" s="10" t="s">
        <v>26</v>
      </c>
      <c r="D37" s="10" t="s">
        <v>69</v>
      </c>
      <c r="E37" s="10" t="s">
        <v>44</v>
      </c>
      <c r="F37" s="10" t="s">
        <v>214</v>
      </c>
      <c r="G37" s="11">
        <v>6044</v>
      </c>
      <c r="H37" s="10" t="s">
        <v>178</v>
      </c>
      <c r="I37" s="10" t="s">
        <v>469</v>
      </c>
    </row>
    <row r="38" spans="1:9" x14ac:dyDescent="0.3">
      <c r="A38" s="9">
        <v>45759</v>
      </c>
      <c r="B38" s="10" t="s">
        <v>472</v>
      </c>
      <c r="C38" s="10" t="s">
        <v>74</v>
      </c>
      <c r="D38" s="10" t="s">
        <v>159</v>
      </c>
      <c r="E38" s="10" t="s">
        <v>38</v>
      </c>
      <c r="F38" s="10" t="s">
        <v>33</v>
      </c>
      <c r="G38" s="11">
        <v>7600</v>
      </c>
      <c r="H38" s="10" t="s">
        <v>182</v>
      </c>
      <c r="I38" s="10" t="s">
        <v>469</v>
      </c>
    </row>
    <row r="39" spans="1:9" x14ac:dyDescent="0.3">
      <c r="A39" s="9">
        <v>45761</v>
      </c>
      <c r="B39" s="10" t="s">
        <v>472</v>
      </c>
      <c r="C39" s="10" t="s">
        <v>26</v>
      </c>
      <c r="D39" s="10" t="s">
        <v>81</v>
      </c>
      <c r="E39" s="10" t="s">
        <v>55</v>
      </c>
      <c r="F39" s="10" t="s">
        <v>185</v>
      </c>
      <c r="G39" s="11">
        <v>220</v>
      </c>
      <c r="H39" s="10" t="s">
        <v>186</v>
      </c>
      <c r="I39" s="10" t="s">
        <v>469</v>
      </c>
    </row>
    <row r="40" spans="1:9" x14ac:dyDescent="0.3">
      <c r="A40" s="9">
        <v>45763</v>
      </c>
      <c r="B40" s="10" t="s">
        <v>472</v>
      </c>
      <c r="C40" s="10" t="s">
        <v>74</v>
      </c>
      <c r="D40" s="10" t="s">
        <v>167</v>
      </c>
      <c r="E40" s="10" t="s">
        <v>38</v>
      </c>
      <c r="F40" s="10" t="s">
        <v>33</v>
      </c>
      <c r="G40" s="11">
        <v>7600</v>
      </c>
      <c r="H40" s="10" t="s">
        <v>188</v>
      </c>
      <c r="I40" s="10" t="s">
        <v>469</v>
      </c>
    </row>
    <row r="41" spans="1:9" x14ac:dyDescent="0.3">
      <c r="A41" s="9">
        <v>45764</v>
      </c>
      <c r="B41" s="10" t="s">
        <v>472</v>
      </c>
      <c r="C41" s="10" t="s">
        <v>26</v>
      </c>
      <c r="D41" s="10" t="s">
        <v>124</v>
      </c>
      <c r="E41" s="10" t="s">
        <v>64</v>
      </c>
      <c r="F41" s="10" t="s">
        <v>151</v>
      </c>
      <c r="G41" s="11">
        <v>2890</v>
      </c>
      <c r="H41" s="10" t="s">
        <v>191</v>
      </c>
      <c r="I41" s="10" t="s">
        <v>469</v>
      </c>
    </row>
    <row r="42" spans="1:9" x14ac:dyDescent="0.3">
      <c r="A42" s="9">
        <v>45767</v>
      </c>
      <c r="B42" s="10" t="s">
        <v>472</v>
      </c>
      <c r="C42" s="10" t="s">
        <v>26</v>
      </c>
      <c r="D42" s="10" t="s">
        <v>42</v>
      </c>
      <c r="E42" s="10" t="s">
        <v>157</v>
      </c>
      <c r="F42" s="10" t="s">
        <v>67</v>
      </c>
      <c r="G42" s="11">
        <v>958</v>
      </c>
      <c r="H42" s="10" t="s">
        <v>195</v>
      </c>
      <c r="I42" s="10" t="s">
        <v>469</v>
      </c>
    </row>
    <row r="43" spans="1:9" x14ac:dyDescent="0.3">
      <c r="A43" s="9">
        <v>45767</v>
      </c>
      <c r="B43" s="10" t="s">
        <v>472</v>
      </c>
      <c r="C43" s="10" t="s">
        <v>74</v>
      </c>
      <c r="D43" s="10" t="s">
        <v>198</v>
      </c>
      <c r="E43" s="10" t="s">
        <v>38</v>
      </c>
      <c r="F43" s="10" t="s">
        <v>33</v>
      </c>
      <c r="G43" s="11">
        <v>7600</v>
      </c>
      <c r="H43" s="10" t="s">
        <v>199</v>
      </c>
      <c r="I43" s="10" t="s">
        <v>469</v>
      </c>
    </row>
    <row r="44" spans="1:9" x14ac:dyDescent="0.3">
      <c r="A44" s="9">
        <v>45770</v>
      </c>
      <c r="B44" s="10" t="s">
        <v>472</v>
      </c>
      <c r="C44" s="10" t="s">
        <v>26</v>
      </c>
      <c r="D44" s="10" t="s">
        <v>53</v>
      </c>
      <c r="E44" s="10" t="s">
        <v>126</v>
      </c>
      <c r="F44" s="10" t="s">
        <v>163</v>
      </c>
      <c r="G44" s="11">
        <v>3818</v>
      </c>
      <c r="H44" s="10" t="s">
        <v>201</v>
      </c>
      <c r="I44" s="10" t="s">
        <v>469</v>
      </c>
    </row>
    <row r="45" spans="1:9" x14ac:dyDescent="0.3">
      <c r="A45" s="9">
        <v>45771</v>
      </c>
      <c r="B45" s="10" t="s">
        <v>472</v>
      </c>
      <c r="C45" s="10" t="s">
        <v>74</v>
      </c>
      <c r="D45" s="10" t="s">
        <v>205</v>
      </c>
      <c r="E45" s="10" t="s">
        <v>38</v>
      </c>
      <c r="F45" s="10" t="s">
        <v>33</v>
      </c>
      <c r="G45" s="11">
        <v>7600</v>
      </c>
      <c r="H45" s="10" t="s">
        <v>206</v>
      </c>
      <c r="I45" s="10" t="s">
        <v>469</v>
      </c>
    </row>
    <row r="46" spans="1:9" x14ac:dyDescent="0.3">
      <c r="A46" s="9">
        <v>45785</v>
      </c>
      <c r="B46" s="10" t="s">
        <v>473</v>
      </c>
      <c r="C46" s="10" t="s">
        <v>26</v>
      </c>
      <c r="D46" s="10" t="s">
        <v>69</v>
      </c>
      <c r="E46" s="10" t="s">
        <v>92</v>
      </c>
      <c r="F46" s="10" t="s">
        <v>132</v>
      </c>
      <c r="G46" s="11">
        <v>12115</v>
      </c>
      <c r="H46" s="10" t="s">
        <v>209</v>
      </c>
      <c r="I46" s="10" t="s">
        <v>469</v>
      </c>
    </row>
    <row r="47" spans="1:9" x14ac:dyDescent="0.3">
      <c r="A47" s="9">
        <v>45785</v>
      </c>
      <c r="B47" s="10" t="s">
        <v>473</v>
      </c>
      <c r="C47" s="10" t="s">
        <v>74</v>
      </c>
      <c r="D47" s="10" t="s">
        <v>167</v>
      </c>
      <c r="E47" s="10" t="s">
        <v>38</v>
      </c>
      <c r="F47" s="10" t="s">
        <v>33</v>
      </c>
      <c r="G47" s="11">
        <v>8000</v>
      </c>
      <c r="H47" s="10" t="s">
        <v>212</v>
      </c>
      <c r="I47" s="10" t="s">
        <v>469</v>
      </c>
    </row>
    <row r="48" spans="1:9" x14ac:dyDescent="0.3">
      <c r="A48" s="9">
        <v>45788</v>
      </c>
      <c r="B48" s="10" t="s">
        <v>473</v>
      </c>
      <c r="C48" s="10" t="s">
        <v>26</v>
      </c>
      <c r="D48" s="10" t="s">
        <v>81</v>
      </c>
      <c r="E48" s="10" t="s">
        <v>44</v>
      </c>
      <c r="F48" s="10" t="s">
        <v>214</v>
      </c>
      <c r="G48" s="11">
        <v>11294</v>
      </c>
      <c r="H48" s="10" t="s">
        <v>215</v>
      </c>
      <c r="I48" s="10" t="s">
        <v>469</v>
      </c>
    </row>
    <row r="49" spans="1:9" x14ac:dyDescent="0.3">
      <c r="A49" s="9">
        <v>45789</v>
      </c>
      <c r="B49" s="10" t="s">
        <v>473</v>
      </c>
      <c r="C49" s="10" t="s">
        <v>74</v>
      </c>
      <c r="D49" s="10" t="s">
        <v>198</v>
      </c>
      <c r="E49" s="10" t="s">
        <v>38</v>
      </c>
      <c r="F49" s="10" t="s">
        <v>33</v>
      </c>
      <c r="G49" s="11">
        <v>8000</v>
      </c>
      <c r="H49" s="10" t="s">
        <v>218</v>
      </c>
      <c r="I49" s="10" t="s">
        <v>469</v>
      </c>
    </row>
    <row r="50" spans="1:9" x14ac:dyDescent="0.3">
      <c r="A50" s="9">
        <v>45791</v>
      </c>
      <c r="B50" s="10" t="s">
        <v>473</v>
      </c>
      <c r="C50" s="10" t="s">
        <v>26</v>
      </c>
      <c r="D50" s="10" t="s">
        <v>124</v>
      </c>
      <c r="E50" s="10" t="s">
        <v>55</v>
      </c>
      <c r="F50" s="10" t="s">
        <v>144</v>
      </c>
      <c r="G50" s="11">
        <v>1441</v>
      </c>
      <c r="H50" s="10" t="s">
        <v>221</v>
      </c>
      <c r="I50" s="10" t="s">
        <v>469</v>
      </c>
    </row>
    <row r="51" spans="1:9" x14ac:dyDescent="0.3">
      <c r="A51" s="9">
        <v>45793</v>
      </c>
      <c r="B51" s="10" t="s">
        <v>473</v>
      </c>
      <c r="C51" s="10" t="s">
        <v>74</v>
      </c>
      <c r="D51" s="10" t="s">
        <v>205</v>
      </c>
      <c r="E51" s="10" t="s">
        <v>38</v>
      </c>
      <c r="F51" s="10" t="s">
        <v>33</v>
      </c>
      <c r="G51" s="11">
        <v>8000</v>
      </c>
      <c r="H51" s="10" t="s">
        <v>223</v>
      </c>
      <c r="I51" s="10" t="s">
        <v>469</v>
      </c>
    </row>
    <row r="52" spans="1:9" x14ac:dyDescent="0.3">
      <c r="A52" s="9">
        <v>45794</v>
      </c>
      <c r="B52" s="10" t="s">
        <v>473</v>
      </c>
      <c r="C52" s="10" t="s">
        <v>26</v>
      </c>
      <c r="D52" s="10" t="s">
        <v>42</v>
      </c>
      <c r="E52" s="10" t="s">
        <v>64</v>
      </c>
      <c r="F52" s="10" t="s">
        <v>61</v>
      </c>
      <c r="G52" s="11">
        <v>8216</v>
      </c>
      <c r="H52" s="10" t="s">
        <v>226</v>
      </c>
      <c r="I52" s="10" t="s">
        <v>469</v>
      </c>
    </row>
    <row r="53" spans="1:9" x14ac:dyDescent="0.3">
      <c r="A53" s="9">
        <v>45797</v>
      </c>
      <c r="B53" s="10" t="s">
        <v>473</v>
      </c>
      <c r="C53" s="10" t="s">
        <v>26</v>
      </c>
      <c r="D53" s="10" t="s">
        <v>53</v>
      </c>
      <c r="E53" s="10" t="s">
        <v>157</v>
      </c>
      <c r="F53" s="10" t="s">
        <v>229</v>
      </c>
      <c r="G53" s="11">
        <v>750</v>
      </c>
      <c r="H53" s="10" t="s">
        <v>230</v>
      </c>
      <c r="I53" s="10" t="s">
        <v>469</v>
      </c>
    </row>
    <row r="54" spans="1:9" x14ac:dyDescent="0.3">
      <c r="A54" s="9">
        <v>45797</v>
      </c>
      <c r="B54" s="10" t="s">
        <v>473</v>
      </c>
      <c r="C54" s="10" t="s">
        <v>74</v>
      </c>
      <c r="D54" s="10" t="s">
        <v>252</v>
      </c>
      <c r="E54" s="10" t="s">
        <v>38</v>
      </c>
      <c r="F54" s="10" t="s">
        <v>33</v>
      </c>
      <c r="G54" s="11">
        <v>8000</v>
      </c>
      <c r="H54" s="10" t="s">
        <v>234</v>
      </c>
      <c r="I54" s="10" t="s">
        <v>469</v>
      </c>
    </row>
    <row r="55" spans="1:9" x14ac:dyDescent="0.3">
      <c r="A55" s="9">
        <v>45800</v>
      </c>
      <c r="B55" s="10" t="s">
        <v>473</v>
      </c>
      <c r="C55" s="10" t="s">
        <v>26</v>
      </c>
      <c r="D55" s="10" t="s">
        <v>62</v>
      </c>
      <c r="E55" s="10" t="s">
        <v>126</v>
      </c>
      <c r="F55" s="10" t="s">
        <v>163</v>
      </c>
      <c r="G55" s="11">
        <v>2659</v>
      </c>
      <c r="H55" s="10" t="s">
        <v>237</v>
      </c>
      <c r="I55" s="10" t="s">
        <v>469</v>
      </c>
    </row>
    <row r="56" spans="1:9" x14ac:dyDescent="0.3">
      <c r="A56" s="9">
        <v>45801</v>
      </c>
      <c r="B56" s="10" t="s">
        <v>473</v>
      </c>
      <c r="C56" s="10" t="s">
        <v>74</v>
      </c>
      <c r="D56" s="10" t="s">
        <v>239</v>
      </c>
      <c r="E56" s="10" t="s">
        <v>38</v>
      </c>
      <c r="F56" s="10" t="s">
        <v>33</v>
      </c>
      <c r="G56" s="11">
        <v>8000</v>
      </c>
      <c r="H56" s="10" t="s">
        <v>240</v>
      </c>
      <c r="I56" s="10" t="s">
        <v>469</v>
      </c>
    </row>
    <row r="57" spans="1:9" x14ac:dyDescent="0.3">
      <c r="A57" s="9">
        <v>45816</v>
      </c>
      <c r="B57" s="10" t="s">
        <v>474</v>
      </c>
      <c r="C57" s="10" t="s">
        <v>26</v>
      </c>
      <c r="D57" s="10" t="s">
        <v>81</v>
      </c>
      <c r="E57" s="10" t="s">
        <v>92</v>
      </c>
      <c r="F57" s="10" t="s">
        <v>90</v>
      </c>
      <c r="G57" s="11">
        <v>709</v>
      </c>
      <c r="H57" s="10" t="s">
        <v>244</v>
      </c>
      <c r="I57" s="10" t="s">
        <v>469</v>
      </c>
    </row>
    <row r="58" spans="1:9" x14ac:dyDescent="0.3">
      <c r="A58" s="9">
        <v>45816</v>
      </c>
      <c r="B58" s="10" t="s">
        <v>474</v>
      </c>
      <c r="C58" s="10" t="s">
        <v>74</v>
      </c>
      <c r="D58" s="10" t="s">
        <v>205</v>
      </c>
      <c r="E58" s="10" t="s">
        <v>38</v>
      </c>
      <c r="F58" s="10" t="s">
        <v>33</v>
      </c>
      <c r="G58" s="11">
        <v>8400</v>
      </c>
      <c r="H58" s="10" t="s">
        <v>247</v>
      </c>
      <c r="I58" s="10" t="s">
        <v>469</v>
      </c>
    </row>
    <row r="59" spans="1:9" x14ac:dyDescent="0.3">
      <c r="A59" s="9">
        <v>45819</v>
      </c>
      <c r="B59" s="10" t="s">
        <v>474</v>
      </c>
      <c r="C59" s="10" t="s">
        <v>26</v>
      </c>
      <c r="D59" s="10" t="s">
        <v>124</v>
      </c>
      <c r="E59" s="10" t="s">
        <v>44</v>
      </c>
      <c r="F59" s="10" t="s">
        <v>98</v>
      </c>
      <c r="G59" s="11">
        <v>28550</v>
      </c>
      <c r="H59" s="10" t="s">
        <v>250</v>
      </c>
      <c r="I59" s="10" t="s">
        <v>469</v>
      </c>
    </row>
    <row r="60" spans="1:9" x14ac:dyDescent="0.3">
      <c r="A60" s="9">
        <v>45820</v>
      </c>
      <c r="B60" s="10" t="s">
        <v>474</v>
      </c>
      <c r="C60" s="10" t="s">
        <v>74</v>
      </c>
      <c r="D60" s="10" t="s">
        <v>252</v>
      </c>
      <c r="E60" s="10" t="s">
        <v>38</v>
      </c>
      <c r="F60" s="10" t="s">
        <v>33</v>
      </c>
      <c r="G60" s="11">
        <v>8400</v>
      </c>
      <c r="H60" s="10" t="s">
        <v>253</v>
      </c>
      <c r="I60" s="10" t="s">
        <v>469</v>
      </c>
    </row>
    <row r="61" spans="1:9" x14ac:dyDescent="0.3">
      <c r="A61" s="9">
        <v>45822</v>
      </c>
      <c r="B61" s="10" t="s">
        <v>474</v>
      </c>
      <c r="C61" s="10" t="s">
        <v>26</v>
      </c>
      <c r="D61" s="10" t="s">
        <v>42</v>
      </c>
      <c r="E61" s="10" t="s">
        <v>55</v>
      </c>
      <c r="F61" s="10" t="s">
        <v>144</v>
      </c>
      <c r="G61" s="11">
        <v>1871</v>
      </c>
      <c r="H61" s="10" t="s">
        <v>256</v>
      </c>
      <c r="I61" s="10" t="s">
        <v>469</v>
      </c>
    </row>
    <row r="62" spans="1:9" x14ac:dyDescent="0.3">
      <c r="A62" s="9">
        <v>45824</v>
      </c>
      <c r="B62" s="10" t="s">
        <v>474</v>
      </c>
      <c r="C62" s="10" t="s">
        <v>74</v>
      </c>
      <c r="D62" s="10" t="s">
        <v>239</v>
      </c>
      <c r="E62" s="10" t="s">
        <v>38</v>
      </c>
      <c r="F62" s="10" t="s">
        <v>33</v>
      </c>
      <c r="G62" s="11">
        <v>8400</v>
      </c>
      <c r="H62" s="10" t="s">
        <v>258</v>
      </c>
      <c r="I62" s="10" t="s">
        <v>469</v>
      </c>
    </row>
    <row r="63" spans="1:9" x14ac:dyDescent="0.3">
      <c r="A63" s="9">
        <v>45825</v>
      </c>
      <c r="B63" s="10" t="s">
        <v>474</v>
      </c>
      <c r="C63" s="10" t="s">
        <v>26</v>
      </c>
      <c r="D63" s="10" t="s">
        <v>53</v>
      </c>
      <c r="E63" s="10" t="s">
        <v>64</v>
      </c>
      <c r="F63" s="10" t="s">
        <v>151</v>
      </c>
      <c r="G63" s="11">
        <v>6358</v>
      </c>
      <c r="H63" s="10" t="s">
        <v>261</v>
      </c>
      <c r="I63" s="10" t="s">
        <v>469</v>
      </c>
    </row>
    <row r="64" spans="1:9" x14ac:dyDescent="0.3">
      <c r="A64" s="9">
        <v>45828</v>
      </c>
      <c r="B64" s="10" t="s">
        <v>474</v>
      </c>
      <c r="C64" s="10" t="s">
        <v>26</v>
      </c>
      <c r="D64" s="10" t="s">
        <v>62</v>
      </c>
      <c r="E64" s="10" t="s">
        <v>157</v>
      </c>
      <c r="F64" s="10" t="s">
        <v>67</v>
      </c>
      <c r="G64" s="11">
        <v>91</v>
      </c>
      <c r="H64" s="10" t="s">
        <v>263</v>
      </c>
      <c r="I64" s="10" t="s">
        <v>469</v>
      </c>
    </row>
    <row r="65" spans="1:9" x14ac:dyDescent="0.3">
      <c r="A65" s="9">
        <v>45828</v>
      </c>
      <c r="B65" s="10" t="s">
        <v>474</v>
      </c>
      <c r="C65" s="10" t="s">
        <v>74</v>
      </c>
      <c r="D65" s="10" t="s">
        <v>266</v>
      </c>
      <c r="E65" s="10" t="s">
        <v>38</v>
      </c>
      <c r="F65" s="10" t="s">
        <v>33</v>
      </c>
      <c r="G65" s="11">
        <v>8400</v>
      </c>
      <c r="H65" s="10" t="s">
        <v>267</v>
      </c>
      <c r="I65" s="10" t="s">
        <v>469</v>
      </c>
    </row>
    <row r="66" spans="1:9" x14ac:dyDescent="0.3">
      <c r="A66" s="9">
        <v>45831</v>
      </c>
      <c r="B66" s="10" t="s">
        <v>474</v>
      </c>
      <c r="C66" s="10" t="s">
        <v>26</v>
      </c>
      <c r="D66" s="10" t="s">
        <v>69</v>
      </c>
      <c r="E66" s="10" t="s">
        <v>126</v>
      </c>
      <c r="F66" s="10" t="s">
        <v>270</v>
      </c>
      <c r="G66" s="11">
        <v>403</v>
      </c>
      <c r="H66" s="10" t="s">
        <v>271</v>
      </c>
      <c r="I66" s="10" t="s">
        <v>469</v>
      </c>
    </row>
    <row r="67" spans="1:9" x14ac:dyDescent="0.3">
      <c r="A67" s="9">
        <v>45832</v>
      </c>
      <c r="B67" s="10" t="s">
        <v>474</v>
      </c>
      <c r="C67" s="10" t="s">
        <v>74</v>
      </c>
      <c r="D67" s="10" t="s">
        <v>291</v>
      </c>
      <c r="E67" s="10" t="s">
        <v>38</v>
      </c>
      <c r="F67" s="10" t="s">
        <v>33</v>
      </c>
      <c r="G67" s="11">
        <v>8400</v>
      </c>
      <c r="H67" s="10" t="s">
        <v>275</v>
      </c>
      <c r="I67" s="10" t="s">
        <v>469</v>
      </c>
    </row>
    <row r="68" spans="1:9" x14ac:dyDescent="0.3">
      <c r="A68" s="9">
        <v>45846</v>
      </c>
      <c r="B68" s="10" t="s">
        <v>475</v>
      </c>
      <c r="C68" s="10" t="s">
        <v>26</v>
      </c>
      <c r="D68" s="10" t="s">
        <v>124</v>
      </c>
      <c r="E68" s="10" t="s">
        <v>92</v>
      </c>
      <c r="F68" s="10" t="s">
        <v>132</v>
      </c>
      <c r="G68" s="11">
        <v>1322</v>
      </c>
      <c r="H68" s="10" t="s">
        <v>277</v>
      </c>
      <c r="I68" s="10" t="s">
        <v>469</v>
      </c>
    </row>
    <row r="69" spans="1:9" x14ac:dyDescent="0.3">
      <c r="A69" s="9">
        <v>45846</v>
      </c>
      <c r="B69" s="10" t="s">
        <v>475</v>
      </c>
      <c r="C69" s="10" t="s">
        <v>74</v>
      </c>
      <c r="D69" s="10" t="s">
        <v>239</v>
      </c>
      <c r="E69" s="10" t="s">
        <v>38</v>
      </c>
      <c r="F69" s="10" t="s">
        <v>33</v>
      </c>
      <c r="G69" s="11">
        <v>8600</v>
      </c>
      <c r="H69" s="10" t="s">
        <v>280</v>
      </c>
      <c r="I69" s="10" t="s">
        <v>469</v>
      </c>
    </row>
    <row r="70" spans="1:9" x14ac:dyDescent="0.3">
      <c r="A70" s="9">
        <v>45849</v>
      </c>
      <c r="B70" s="10" t="s">
        <v>475</v>
      </c>
      <c r="C70" s="10" t="s">
        <v>26</v>
      </c>
      <c r="D70" s="10" t="s">
        <v>42</v>
      </c>
      <c r="E70" s="10" t="s">
        <v>44</v>
      </c>
      <c r="F70" s="10" t="s">
        <v>214</v>
      </c>
      <c r="G70" s="11">
        <v>35347</v>
      </c>
      <c r="H70" s="10" t="s">
        <v>283</v>
      </c>
      <c r="I70" s="10" t="s">
        <v>469</v>
      </c>
    </row>
    <row r="71" spans="1:9" x14ac:dyDescent="0.3">
      <c r="A71" s="9">
        <v>45850</v>
      </c>
      <c r="B71" s="10" t="s">
        <v>475</v>
      </c>
      <c r="C71" s="10" t="s">
        <v>74</v>
      </c>
      <c r="D71" s="10" t="s">
        <v>266</v>
      </c>
      <c r="E71" s="10" t="s">
        <v>38</v>
      </c>
      <c r="F71" s="10" t="s">
        <v>33</v>
      </c>
      <c r="G71" s="11">
        <v>8600</v>
      </c>
      <c r="H71" s="10" t="s">
        <v>286</v>
      </c>
      <c r="I71" s="10" t="s">
        <v>469</v>
      </c>
    </row>
    <row r="72" spans="1:9" x14ac:dyDescent="0.3">
      <c r="A72" s="9">
        <v>45852</v>
      </c>
      <c r="B72" s="10" t="s">
        <v>475</v>
      </c>
      <c r="C72" s="10" t="s">
        <v>26</v>
      </c>
      <c r="D72" s="10" t="s">
        <v>53</v>
      </c>
      <c r="E72" s="10" t="s">
        <v>55</v>
      </c>
      <c r="F72" s="10" t="s">
        <v>52</v>
      </c>
      <c r="G72" s="11">
        <v>92</v>
      </c>
      <c r="H72" s="10" t="s">
        <v>288</v>
      </c>
      <c r="I72" s="10" t="s">
        <v>469</v>
      </c>
    </row>
    <row r="73" spans="1:9" x14ac:dyDescent="0.3">
      <c r="A73" s="9">
        <v>45854</v>
      </c>
      <c r="B73" s="10" t="s">
        <v>475</v>
      </c>
      <c r="C73" s="10" t="s">
        <v>74</v>
      </c>
      <c r="D73" s="10" t="s">
        <v>291</v>
      </c>
      <c r="E73" s="10" t="s">
        <v>38</v>
      </c>
      <c r="F73" s="10" t="s">
        <v>33</v>
      </c>
      <c r="G73" s="11">
        <v>8600</v>
      </c>
      <c r="H73" s="10" t="s">
        <v>292</v>
      </c>
      <c r="I73" s="10" t="s">
        <v>469</v>
      </c>
    </row>
    <row r="74" spans="1:9" x14ac:dyDescent="0.3">
      <c r="A74" s="9">
        <v>45855</v>
      </c>
      <c r="B74" s="10" t="s">
        <v>475</v>
      </c>
      <c r="C74" s="10" t="s">
        <v>26</v>
      </c>
      <c r="D74" s="10" t="s">
        <v>62</v>
      </c>
      <c r="E74" s="10" t="s">
        <v>64</v>
      </c>
      <c r="F74" s="10" t="s">
        <v>151</v>
      </c>
      <c r="G74" s="11">
        <v>302</v>
      </c>
      <c r="H74" s="10" t="s">
        <v>295</v>
      </c>
      <c r="I74" s="10" t="s">
        <v>469</v>
      </c>
    </row>
    <row r="75" spans="1:9" x14ac:dyDescent="0.3">
      <c r="A75" s="9">
        <v>45858</v>
      </c>
      <c r="B75" s="10" t="s">
        <v>475</v>
      </c>
      <c r="C75" s="10" t="s">
        <v>26</v>
      </c>
      <c r="D75" s="10" t="s">
        <v>69</v>
      </c>
      <c r="E75" s="10" t="s">
        <v>157</v>
      </c>
      <c r="F75" s="10" t="s">
        <v>229</v>
      </c>
      <c r="G75" s="11">
        <v>327</v>
      </c>
      <c r="H75" s="10" t="s">
        <v>298</v>
      </c>
      <c r="I75" s="10" t="s">
        <v>469</v>
      </c>
    </row>
    <row r="76" spans="1:9" x14ac:dyDescent="0.3">
      <c r="A76" s="9">
        <v>45858</v>
      </c>
      <c r="B76" s="10" t="s">
        <v>475</v>
      </c>
      <c r="C76" s="10" t="s">
        <v>74</v>
      </c>
      <c r="D76" s="10" t="s">
        <v>35</v>
      </c>
      <c r="E76" s="10" t="s">
        <v>38</v>
      </c>
      <c r="F76" s="10" t="s">
        <v>33</v>
      </c>
      <c r="G76" s="11">
        <v>8600</v>
      </c>
      <c r="H76" s="10" t="s">
        <v>300</v>
      </c>
      <c r="I76" s="10" t="s">
        <v>469</v>
      </c>
    </row>
    <row r="77" spans="1:9" x14ac:dyDescent="0.3">
      <c r="A77" s="9">
        <v>45861</v>
      </c>
      <c r="B77" s="10" t="s">
        <v>475</v>
      </c>
      <c r="C77" s="10" t="s">
        <v>26</v>
      </c>
      <c r="D77" s="10" t="s">
        <v>81</v>
      </c>
      <c r="E77" s="10" t="s">
        <v>126</v>
      </c>
      <c r="F77" s="10" t="s">
        <v>270</v>
      </c>
      <c r="G77" s="11">
        <v>1121</v>
      </c>
      <c r="H77" s="10" t="s">
        <v>303</v>
      </c>
      <c r="I77" s="10" t="s">
        <v>469</v>
      </c>
    </row>
    <row r="78" spans="1:9" x14ac:dyDescent="0.3">
      <c r="A78" s="9">
        <v>45862</v>
      </c>
      <c r="B78" s="10" t="s">
        <v>475</v>
      </c>
      <c r="C78" s="10" t="s">
        <v>74</v>
      </c>
      <c r="D78" s="10" t="s">
        <v>48</v>
      </c>
      <c r="E78" s="10" t="s">
        <v>38</v>
      </c>
      <c r="F78" s="10" t="s">
        <v>33</v>
      </c>
      <c r="G78" s="11">
        <v>8600</v>
      </c>
      <c r="H78" s="10" t="s">
        <v>306</v>
      </c>
      <c r="I78" s="10" t="s">
        <v>469</v>
      </c>
    </row>
    <row r="79" spans="1:9" x14ac:dyDescent="0.3">
      <c r="A79" s="9">
        <v>45877</v>
      </c>
      <c r="B79" s="10" t="s">
        <v>476</v>
      </c>
      <c r="C79" s="10" t="s">
        <v>26</v>
      </c>
      <c r="D79" s="10" t="s">
        <v>42</v>
      </c>
      <c r="E79" s="10" t="s">
        <v>92</v>
      </c>
      <c r="F79" s="10" t="s">
        <v>171</v>
      </c>
      <c r="G79" s="11">
        <v>11243</v>
      </c>
      <c r="H79" s="10" t="s">
        <v>309</v>
      </c>
      <c r="I79" s="10" t="s">
        <v>469</v>
      </c>
    </row>
    <row r="80" spans="1:9" x14ac:dyDescent="0.3">
      <c r="A80" s="9">
        <v>45877</v>
      </c>
      <c r="B80" s="10" t="s">
        <v>476</v>
      </c>
      <c r="C80" s="10" t="s">
        <v>74</v>
      </c>
      <c r="D80" s="10" t="s">
        <v>291</v>
      </c>
      <c r="E80" s="10" t="s">
        <v>38</v>
      </c>
      <c r="F80" s="10" t="s">
        <v>33</v>
      </c>
      <c r="G80" s="11">
        <v>8900</v>
      </c>
      <c r="H80" s="10" t="s">
        <v>311</v>
      </c>
      <c r="I80" s="10" t="s">
        <v>469</v>
      </c>
    </row>
    <row r="81" spans="1:9" x14ac:dyDescent="0.3">
      <c r="A81" s="9">
        <v>45880</v>
      </c>
      <c r="B81" s="10" t="s">
        <v>476</v>
      </c>
      <c r="C81" s="10" t="s">
        <v>26</v>
      </c>
      <c r="D81" s="10" t="s">
        <v>53</v>
      </c>
      <c r="E81" s="10" t="s">
        <v>44</v>
      </c>
      <c r="F81" s="10" t="s">
        <v>40</v>
      </c>
      <c r="G81" s="11">
        <v>27208</v>
      </c>
      <c r="H81" s="10" t="s">
        <v>314</v>
      </c>
      <c r="I81" s="10" t="s">
        <v>469</v>
      </c>
    </row>
    <row r="82" spans="1:9" x14ac:dyDescent="0.3">
      <c r="A82" s="9">
        <v>45881</v>
      </c>
      <c r="B82" s="10" t="s">
        <v>476</v>
      </c>
      <c r="C82" s="10" t="s">
        <v>74</v>
      </c>
      <c r="D82" s="10" t="s">
        <v>35</v>
      </c>
      <c r="E82" s="10" t="s">
        <v>38</v>
      </c>
      <c r="F82" s="10" t="s">
        <v>33</v>
      </c>
      <c r="G82" s="11">
        <v>8900</v>
      </c>
      <c r="H82" s="10" t="s">
        <v>317</v>
      </c>
      <c r="I82" s="10" t="s">
        <v>469</v>
      </c>
    </row>
    <row r="83" spans="1:9" x14ac:dyDescent="0.3">
      <c r="A83" s="9">
        <v>45885</v>
      </c>
      <c r="B83" s="10" t="s">
        <v>476</v>
      </c>
      <c r="C83" s="10" t="s">
        <v>74</v>
      </c>
      <c r="D83" s="10" t="s">
        <v>48</v>
      </c>
      <c r="E83" s="10" t="s">
        <v>38</v>
      </c>
      <c r="F83" s="10" t="s">
        <v>33</v>
      </c>
      <c r="G83" s="11">
        <v>8900</v>
      </c>
      <c r="H83" s="10" t="s">
        <v>320</v>
      </c>
      <c r="I83" s="10" t="s">
        <v>469</v>
      </c>
    </row>
    <row r="84" spans="1:9" x14ac:dyDescent="0.3">
      <c r="A84" s="9">
        <v>45886</v>
      </c>
      <c r="B84" s="10" t="s">
        <v>476</v>
      </c>
      <c r="C84" s="10" t="s">
        <v>26</v>
      </c>
      <c r="D84" s="10" t="s">
        <v>69</v>
      </c>
      <c r="E84" s="10" t="s">
        <v>64</v>
      </c>
      <c r="F84" s="10" t="s">
        <v>151</v>
      </c>
      <c r="G84" s="11">
        <v>928</v>
      </c>
      <c r="H84" s="10" t="s">
        <v>322</v>
      </c>
      <c r="I84" s="10" t="s">
        <v>469</v>
      </c>
    </row>
    <row r="85" spans="1:9" x14ac:dyDescent="0.3">
      <c r="A85" s="9">
        <v>45889</v>
      </c>
      <c r="B85" s="10" t="s">
        <v>476</v>
      </c>
      <c r="C85" s="10" t="s">
        <v>26</v>
      </c>
      <c r="D85" s="10" t="s">
        <v>81</v>
      </c>
      <c r="E85" s="10" t="s">
        <v>157</v>
      </c>
      <c r="F85" s="10" t="s">
        <v>67</v>
      </c>
      <c r="G85" s="11">
        <v>12</v>
      </c>
      <c r="H85" s="10" t="s">
        <v>325</v>
      </c>
      <c r="I85" s="10" t="s">
        <v>469</v>
      </c>
    </row>
    <row r="86" spans="1:9" x14ac:dyDescent="0.3">
      <c r="A86" s="9">
        <v>45889</v>
      </c>
      <c r="B86" s="10" t="s">
        <v>476</v>
      </c>
      <c r="C86" s="10" t="s">
        <v>74</v>
      </c>
      <c r="D86" s="10" t="s">
        <v>58</v>
      </c>
      <c r="E86" s="10" t="s">
        <v>38</v>
      </c>
      <c r="F86" s="10" t="s">
        <v>33</v>
      </c>
      <c r="G86" s="11">
        <v>8900</v>
      </c>
      <c r="H86" s="10" t="s">
        <v>327</v>
      </c>
      <c r="I86" s="10" t="s">
        <v>469</v>
      </c>
    </row>
    <row r="87" spans="1:9" x14ac:dyDescent="0.3">
      <c r="A87" s="9">
        <v>45892</v>
      </c>
      <c r="B87" s="10" t="s">
        <v>476</v>
      </c>
      <c r="C87" s="10" t="s">
        <v>26</v>
      </c>
      <c r="D87" s="10" t="s">
        <v>124</v>
      </c>
      <c r="E87" s="10" t="s">
        <v>126</v>
      </c>
      <c r="F87" s="10" t="s">
        <v>270</v>
      </c>
      <c r="G87" s="11">
        <v>415</v>
      </c>
      <c r="H87" s="10" t="s">
        <v>330</v>
      </c>
      <c r="I87" s="10" t="s">
        <v>469</v>
      </c>
    </row>
    <row r="88" spans="1:9" x14ac:dyDescent="0.3">
      <c r="A88" s="9">
        <v>45893</v>
      </c>
      <c r="B88" s="10" t="s">
        <v>476</v>
      </c>
      <c r="C88" s="10" t="s">
        <v>74</v>
      </c>
      <c r="D88" s="10" t="s">
        <v>75</v>
      </c>
      <c r="E88" s="10" t="s">
        <v>38</v>
      </c>
      <c r="F88" s="10" t="s">
        <v>33</v>
      </c>
      <c r="G88" s="11">
        <v>8900</v>
      </c>
      <c r="H88" s="10" t="s">
        <v>332</v>
      </c>
      <c r="I88" s="10" t="s">
        <v>469</v>
      </c>
    </row>
    <row r="89" spans="1:9" x14ac:dyDescent="0.3">
      <c r="A89" s="9">
        <v>45908</v>
      </c>
      <c r="B89" s="10" t="s">
        <v>477</v>
      </c>
      <c r="C89" s="10" t="s">
        <v>26</v>
      </c>
      <c r="D89" s="10" t="s">
        <v>53</v>
      </c>
      <c r="E89" s="10" t="s">
        <v>92</v>
      </c>
      <c r="F89" s="10" t="s">
        <v>132</v>
      </c>
      <c r="G89" s="11">
        <v>8061</v>
      </c>
      <c r="H89" s="10" t="s">
        <v>335</v>
      </c>
      <c r="I89" s="10" t="s">
        <v>469</v>
      </c>
    </row>
    <row r="90" spans="1:9" x14ac:dyDescent="0.3">
      <c r="A90" s="9">
        <v>45908</v>
      </c>
      <c r="B90" s="10" t="s">
        <v>477</v>
      </c>
      <c r="C90" s="10" t="s">
        <v>74</v>
      </c>
      <c r="D90" s="10" t="s">
        <v>48</v>
      </c>
      <c r="E90" s="10" t="s">
        <v>38</v>
      </c>
      <c r="F90" s="10" t="s">
        <v>33</v>
      </c>
      <c r="G90" s="11">
        <v>9200</v>
      </c>
      <c r="H90" s="10" t="s">
        <v>338</v>
      </c>
      <c r="I90" s="10" t="s">
        <v>469</v>
      </c>
    </row>
    <row r="91" spans="1:9" x14ac:dyDescent="0.3">
      <c r="A91" s="9">
        <v>45911</v>
      </c>
      <c r="B91" s="10" t="s">
        <v>477</v>
      </c>
      <c r="C91" s="10" t="s">
        <v>26</v>
      </c>
      <c r="D91" s="10" t="s">
        <v>62</v>
      </c>
      <c r="E91" s="10" t="s">
        <v>44</v>
      </c>
      <c r="F91" s="10" t="s">
        <v>214</v>
      </c>
      <c r="G91" s="11">
        <v>27146</v>
      </c>
      <c r="H91" s="10" t="s">
        <v>341</v>
      </c>
      <c r="I91" s="10" t="s">
        <v>469</v>
      </c>
    </row>
    <row r="92" spans="1:9" x14ac:dyDescent="0.3">
      <c r="A92" s="9">
        <v>45912</v>
      </c>
      <c r="B92" s="10" t="s">
        <v>477</v>
      </c>
      <c r="C92" s="10" t="s">
        <v>74</v>
      </c>
      <c r="D92" s="10" t="s">
        <v>58</v>
      </c>
      <c r="E92" s="10" t="s">
        <v>38</v>
      </c>
      <c r="F92" s="10" t="s">
        <v>33</v>
      </c>
      <c r="G92" s="11">
        <v>9200</v>
      </c>
      <c r="H92" s="10" t="s">
        <v>343</v>
      </c>
      <c r="I92" s="10" t="s">
        <v>469</v>
      </c>
    </row>
    <row r="93" spans="1:9" x14ac:dyDescent="0.3">
      <c r="A93" s="9">
        <v>45914</v>
      </c>
      <c r="B93" s="10" t="s">
        <v>477</v>
      </c>
      <c r="C93" s="10" t="s">
        <v>26</v>
      </c>
      <c r="D93" s="10" t="s">
        <v>69</v>
      </c>
      <c r="E93" s="10" t="s">
        <v>55</v>
      </c>
      <c r="F93" s="10" t="s">
        <v>144</v>
      </c>
      <c r="G93" s="11">
        <v>1073</v>
      </c>
      <c r="H93" s="10" t="s">
        <v>346</v>
      </c>
      <c r="I93" s="10" t="s">
        <v>469</v>
      </c>
    </row>
    <row r="94" spans="1:9" x14ac:dyDescent="0.3">
      <c r="A94" s="9">
        <v>45916</v>
      </c>
      <c r="B94" s="10" t="s">
        <v>477</v>
      </c>
      <c r="C94" s="10" t="s">
        <v>74</v>
      </c>
      <c r="D94" s="10" t="s">
        <v>75</v>
      </c>
      <c r="E94" s="10" t="s">
        <v>38</v>
      </c>
      <c r="F94" s="10" t="s">
        <v>33</v>
      </c>
      <c r="G94" s="11">
        <v>9200</v>
      </c>
      <c r="H94" s="10" t="s">
        <v>348</v>
      </c>
      <c r="I94" s="10" t="s">
        <v>469</v>
      </c>
    </row>
    <row r="95" spans="1:9" x14ac:dyDescent="0.3">
      <c r="A95" s="9">
        <v>45917</v>
      </c>
      <c r="B95" s="10" t="s">
        <v>477</v>
      </c>
      <c r="C95" s="10" t="s">
        <v>26</v>
      </c>
      <c r="D95" s="10" t="s">
        <v>81</v>
      </c>
      <c r="E95" s="10" t="s">
        <v>64</v>
      </c>
      <c r="F95" s="10" t="s">
        <v>61</v>
      </c>
      <c r="G95" s="11">
        <v>1337</v>
      </c>
      <c r="H95" s="10" t="s">
        <v>351</v>
      </c>
      <c r="I95" s="10" t="s">
        <v>469</v>
      </c>
    </row>
    <row r="96" spans="1:9" x14ac:dyDescent="0.3">
      <c r="A96" s="9">
        <v>45920</v>
      </c>
      <c r="B96" s="10" t="s">
        <v>477</v>
      </c>
      <c r="C96" s="10" t="s">
        <v>26</v>
      </c>
      <c r="D96" s="10" t="s">
        <v>124</v>
      </c>
      <c r="E96" s="10" t="s">
        <v>157</v>
      </c>
      <c r="F96" s="10" t="s">
        <v>67</v>
      </c>
      <c r="G96" s="11">
        <v>1516</v>
      </c>
      <c r="H96" s="10" t="s">
        <v>353</v>
      </c>
      <c r="I96" s="10" t="s">
        <v>469</v>
      </c>
    </row>
    <row r="97" spans="1:9" x14ac:dyDescent="0.3">
      <c r="A97" s="9">
        <v>45920</v>
      </c>
      <c r="B97" s="10" t="s">
        <v>477</v>
      </c>
      <c r="C97" s="10" t="s">
        <v>74</v>
      </c>
      <c r="D97" s="10" t="s">
        <v>86</v>
      </c>
      <c r="E97" s="10" t="s">
        <v>38</v>
      </c>
      <c r="F97" s="10" t="s">
        <v>33</v>
      </c>
      <c r="G97" s="11">
        <v>9200</v>
      </c>
      <c r="H97" s="10" t="s">
        <v>356</v>
      </c>
      <c r="I97" s="10" t="s">
        <v>469</v>
      </c>
    </row>
    <row r="98" spans="1:9" x14ac:dyDescent="0.3">
      <c r="A98" s="9">
        <v>45923</v>
      </c>
      <c r="B98" s="10" t="s">
        <v>477</v>
      </c>
      <c r="C98" s="10" t="s">
        <v>26</v>
      </c>
      <c r="D98" s="10" t="s">
        <v>42</v>
      </c>
      <c r="E98" s="10" t="s">
        <v>126</v>
      </c>
      <c r="F98" s="10" t="s">
        <v>270</v>
      </c>
      <c r="G98" s="11">
        <v>582</v>
      </c>
      <c r="H98" s="10" t="s">
        <v>359</v>
      </c>
      <c r="I98" s="10" t="s">
        <v>469</v>
      </c>
    </row>
    <row r="99" spans="1:9" x14ac:dyDescent="0.3">
      <c r="A99" s="9">
        <v>45924</v>
      </c>
      <c r="B99" s="10" t="s">
        <v>477</v>
      </c>
      <c r="C99" s="10" t="s">
        <v>74</v>
      </c>
      <c r="D99" s="10" t="s">
        <v>119</v>
      </c>
      <c r="E99" s="10" t="s">
        <v>38</v>
      </c>
      <c r="F99" s="10" t="s">
        <v>33</v>
      </c>
      <c r="G99" s="11">
        <v>9200</v>
      </c>
      <c r="H99" s="10" t="s">
        <v>362</v>
      </c>
      <c r="I99" s="10" t="s">
        <v>469</v>
      </c>
    </row>
    <row r="100" spans="1:9" x14ac:dyDescent="0.3">
      <c r="A100" s="9">
        <v>45938</v>
      </c>
      <c r="B100" s="10" t="s">
        <v>478</v>
      </c>
      <c r="C100" s="10" t="s">
        <v>26</v>
      </c>
      <c r="D100" s="10" t="s">
        <v>62</v>
      </c>
      <c r="E100" s="10" t="s">
        <v>92</v>
      </c>
      <c r="F100" s="10" t="s">
        <v>132</v>
      </c>
      <c r="G100" s="11">
        <v>7029</v>
      </c>
      <c r="H100" s="10" t="s">
        <v>364</v>
      </c>
      <c r="I100" s="10" t="s">
        <v>469</v>
      </c>
    </row>
    <row r="101" spans="1:9" x14ac:dyDescent="0.3">
      <c r="A101" s="9">
        <v>45938</v>
      </c>
      <c r="B101" s="10" t="s">
        <v>478</v>
      </c>
      <c r="C101" s="10" t="s">
        <v>74</v>
      </c>
      <c r="D101" s="10" t="s">
        <v>75</v>
      </c>
      <c r="E101" s="10" t="s">
        <v>38</v>
      </c>
      <c r="F101" s="10" t="s">
        <v>33</v>
      </c>
      <c r="G101" s="11">
        <v>9500</v>
      </c>
      <c r="H101" s="10" t="s">
        <v>367</v>
      </c>
      <c r="I101" s="10" t="s">
        <v>469</v>
      </c>
    </row>
    <row r="102" spans="1:9" x14ac:dyDescent="0.3">
      <c r="A102" s="9">
        <v>45941</v>
      </c>
      <c r="B102" s="10" t="s">
        <v>478</v>
      </c>
      <c r="C102" s="10" t="s">
        <v>26</v>
      </c>
      <c r="D102" s="10" t="s">
        <v>69</v>
      </c>
      <c r="E102" s="10" t="s">
        <v>44</v>
      </c>
      <c r="F102" s="10" t="s">
        <v>98</v>
      </c>
      <c r="G102" s="11">
        <v>7321</v>
      </c>
      <c r="H102" s="10" t="s">
        <v>371</v>
      </c>
      <c r="I102" s="10" t="s">
        <v>469</v>
      </c>
    </row>
    <row r="103" spans="1:9" x14ac:dyDescent="0.3">
      <c r="A103" s="9">
        <v>45942</v>
      </c>
      <c r="B103" s="10" t="s">
        <v>478</v>
      </c>
      <c r="C103" s="10" t="s">
        <v>74</v>
      </c>
      <c r="D103" s="10" t="s">
        <v>86</v>
      </c>
      <c r="E103" s="10" t="s">
        <v>38</v>
      </c>
      <c r="F103" s="10" t="s">
        <v>33</v>
      </c>
      <c r="G103" s="11">
        <v>9500</v>
      </c>
      <c r="H103" s="10" t="s">
        <v>374</v>
      </c>
      <c r="I103" s="10" t="s">
        <v>469</v>
      </c>
    </row>
    <row r="104" spans="1:9" x14ac:dyDescent="0.3">
      <c r="A104" s="9">
        <v>45944</v>
      </c>
      <c r="B104" s="10" t="s">
        <v>478</v>
      </c>
      <c r="C104" s="10" t="s">
        <v>26</v>
      </c>
      <c r="D104" s="10" t="s">
        <v>81</v>
      </c>
      <c r="E104" s="10" t="s">
        <v>55</v>
      </c>
      <c r="F104" s="10" t="s">
        <v>144</v>
      </c>
      <c r="G104" s="11">
        <v>24838</v>
      </c>
      <c r="H104" s="10" t="s">
        <v>376</v>
      </c>
      <c r="I104" s="10" t="s">
        <v>469</v>
      </c>
    </row>
    <row r="105" spans="1:9" x14ac:dyDescent="0.3">
      <c r="A105" s="9">
        <v>45946</v>
      </c>
      <c r="B105" s="10" t="s">
        <v>478</v>
      </c>
      <c r="C105" s="10" t="s">
        <v>74</v>
      </c>
      <c r="D105" s="10" t="s">
        <v>119</v>
      </c>
      <c r="E105" s="10" t="s">
        <v>38</v>
      </c>
      <c r="F105" s="10" t="s">
        <v>33</v>
      </c>
      <c r="G105" s="11">
        <v>9500</v>
      </c>
      <c r="H105" s="10" t="s">
        <v>378</v>
      </c>
      <c r="I105" s="10" t="s">
        <v>469</v>
      </c>
    </row>
    <row r="106" spans="1:9" x14ac:dyDescent="0.3">
      <c r="A106" s="9">
        <v>45947</v>
      </c>
      <c r="B106" s="10" t="s">
        <v>478</v>
      </c>
      <c r="C106" s="10" t="s">
        <v>26</v>
      </c>
      <c r="D106" s="10" t="s">
        <v>124</v>
      </c>
      <c r="E106" s="10" t="s">
        <v>64</v>
      </c>
      <c r="F106" s="10" t="s">
        <v>61</v>
      </c>
      <c r="G106" s="11">
        <v>1471</v>
      </c>
      <c r="H106" s="10" t="s">
        <v>381</v>
      </c>
      <c r="I106" s="10" t="s">
        <v>469</v>
      </c>
    </row>
    <row r="107" spans="1:9" x14ac:dyDescent="0.3">
      <c r="A107" s="9">
        <v>45950</v>
      </c>
      <c r="B107" s="10" t="s">
        <v>478</v>
      </c>
      <c r="C107" s="10" t="s">
        <v>26</v>
      </c>
      <c r="D107" s="10" t="s">
        <v>42</v>
      </c>
      <c r="E107" s="10" t="s">
        <v>157</v>
      </c>
      <c r="F107" s="10" t="s">
        <v>67</v>
      </c>
      <c r="G107" s="11">
        <v>6</v>
      </c>
      <c r="H107" s="10" t="s">
        <v>384</v>
      </c>
      <c r="I107" s="10" t="s">
        <v>469</v>
      </c>
    </row>
    <row r="108" spans="1:9" x14ac:dyDescent="0.3">
      <c r="A108" s="9">
        <v>45950</v>
      </c>
      <c r="B108" s="10" t="s">
        <v>478</v>
      </c>
      <c r="C108" s="10" t="s">
        <v>74</v>
      </c>
      <c r="D108" s="10" t="s">
        <v>129</v>
      </c>
      <c r="E108" s="10" t="s">
        <v>38</v>
      </c>
      <c r="F108" s="10" t="s">
        <v>33</v>
      </c>
      <c r="G108" s="11">
        <v>9500</v>
      </c>
      <c r="H108" s="10" t="s">
        <v>386</v>
      </c>
      <c r="I108" s="10" t="s">
        <v>469</v>
      </c>
    </row>
    <row r="109" spans="1:9" x14ac:dyDescent="0.3">
      <c r="A109" s="9">
        <v>45953</v>
      </c>
      <c r="B109" s="10" t="s">
        <v>478</v>
      </c>
      <c r="C109" s="10" t="s">
        <v>26</v>
      </c>
      <c r="D109" s="10" t="s">
        <v>53</v>
      </c>
      <c r="E109" s="10" t="s">
        <v>126</v>
      </c>
      <c r="F109" s="10" t="s">
        <v>79</v>
      </c>
      <c r="G109" s="11">
        <v>145</v>
      </c>
      <c r="H109" s="10" t="s">
        <v>389</v>
      </c>
      <c r="I109" s="10" t="s">
        <v>469</v>
      </c>
    </row>
    <row r="110" spans="1:9" x14ac:dyDescent="0.3">
      <c r="A110" s="9">
        <v>45954</v>
      </c>
      <c r="B110" s="10" t="s">
        <v>478</v>
      </c>
      <c r="C110" s="10" t="s">
        <v>74</v>
      </c>
      <c r="D110" s="10" t="s">
        <v>159</v>
      </c>
      <c r="E110" s="10" t="s">
        <v>38</v>
      </c>
      <c r="F110" s="10" t="s">
        <v>33</v>
      </c>
      <c r="G110" s="11">
        <v>9500</v>
      </c>
      <c r="H110" s="10" t="s">
        <v>392</v>
      </c>
      <c r="I110" s="10" t="s">
        <v>469</v>
      </c>
    </row>
    <row r="111" spans="1:9" x14ac:dyDescent="0.3">
      <c r="A111" s="9">
        <v>45969</v>
      </c>
      <c r="B111" s="10" t="s">
        <v>479</v>
      </c>
      <c r="C111" s="10" t="s">
        <v>26</v>
      </c>
      <c r="D111" s="10" t="s">
        <v>69</v>
      </c>
      <c r="E111" s="10" t="s">
        <v>92</v>
      </c>
      <c r="F111" s="10" t="s">
        <v>171</v>
      </c>
      <c r="G111" s="11">
        <v>3269</v>
      </c>
      <c r="H111" s="10" t="s">
        <v>395</v>
      </c>
      <c r="I111" s="10" t="s">
        <v>469</v>
      </c>
    </row>
    <row r="112" spans="1:9" x14ac:dyDescent="0.3">
      <c r="A112" s="9">
        <v>45969</v>
      </c>
      <c r="B112" s="10" t="s">
        <v>479</v>
      </c>
      <c r="C112" s="10" t="s">
        <v>74</v>
      </c>
      <c r="D112" s="10" t="s">
        <v>119</v>
      </c>
      <c r="E112" s="10" t="s">
        <v>38</v>
      </c>
      <c r="F112" s="10" t="s">
        <v>33</v>
      </c>
      <c r="G112" s="11">
        <v>9800</v>
      </c>
      <c r="H112" s="10" t="s">
        <v>397</v>
      </c>
      <c r="I112" s="10" t="s">
        <v>469</v>
      </c>
    </row>
    <row r="113" spans="1:9" x14ac:dyDescent="0.3">
      <c r="A113" s="9">
        <v>45972</v>
      </c>
      <c r="B113" s="10" t="s">
        <v>479</v>
      </c>
      <c r="C113" s="10" t="s">
        <v>26</v>
      </c>
      <c r="D113" s="10" t="s">
        <v>81</v>
      </c>
      <c r="E113" s="10" t="s">
        <v>44</v>
      </c>
      <c r="F113" s="10" t="s">
        <v>98</v>
      </c>
      <c r="G113" s="11">
        <v>13147</v>
      </c>
      <c r="H113" s="10" t="s">
        <v>400</v>
      </c>
      <c r="I113" s="10" t="s">
        <v>469</v>
      </c>
    </row>
    <row r="114" spans="1:9" x14ac:dyDescent="0.3">
      <c r="A114" s="9">
        <v>45973</v>
      </c>
      <c r="B114" s="10" t="s">
        <v>479</v>
      </c>
      <c r="C114" s="10" t="s">
        <v>74</v>
      </c>
      <c r="D114" s="10" t="s">
        <v>129</v>
      </c>
      <c r="E114" s="10" t="s">
        <v>38</v>
      </c>
      <c r="F114" s="10" t="s">
        <v>33</v>
      </c>
      <c r="G114" s="11">
        <v>9800</v>
      </c>
      <c r="H114" s="10" t="s">
        <v>403</v>
      </c>
      <c r="I114" s="10" t="s">
        <v>469</v>
      </c>
    </row>
    <row r="115" spans="1:9" x14ac:dyDescent="0.3">
      <c r="A115" s="9">
        <v>45975</v>
      </c>
      <c r="B115" s="10" t="s">
        <v>479</v>
      </c>
      <c r="C115" s="10" t="s">
        <v>26</v>
      </c>
      <c r="D115" s="10" t="s">
        <v>124</v>
      </c>
      <c r="E115" s="10" t="s">
        <v>55</v>
      </c>
      <c r="F115" s="10" t="s">
        <v>52</v>
      </c>
      <c r="G115" s="11">
        <v>819</v>
      </c>
      <c r="H115" s="10" t="s">
        <v>406</v>
      </c>
      <c r="I115" s="10" t="s">
        <v>469</v>
      </c>
    </row>
    <row r="116" spans="1:9" x14ac:dyDescent="0.3">
      <c r="A116" s="9">
        <v>45977</v>
      </c>
      <c r="B116" s="10" t="s">
        <v>479</v>
      </c>
      <c r="C116" s="10" t="s">
        <v>74</v>
      </c>
      <c r="D116" s="10" t="s">
        <v>159</v>
      </c>
      <c r="E116" s="10" t="s">
        <v>38</v>
      </c>
      <c r="F116" s="10" t="s">
        <v>33</v>
      </c>
      <c r="G116" s="11">
        <v>9800</v>
      </c>
      <c r="H116" s="10" t="s">
        <v>408</v>
      </c>
      <c r="I116" s="10" t="s">
        <v>469</v>
      </c>
    </row>
    <row r="117" spans="1:9" x14ac:dyDescent="0.3">
      <c r="A117" s="9">
        <v>45978</v>
      </c>
      <c r="B117" s="10" t="s">
        <v>479</v>
      </c>
      <c r="C117" s="10" t="s">
        <v>26</v>
      </c>
      <c r="D117" s="10" t="s">
        <v>42</v>
      </c>
      <c r="E117" s="10" t="s">
        <v>64</v>
      </c>
      <c r="F117" s="10" t="s">
        <v>61</v>
      </c>
      <c r="G117" s="11">
        <v>21749</v>
      </c>
      <c r="H117" s="10" t="s">
        <v>411</v>
      </c>
      <c r="I117" s="10" t="s">
        <v>469</v>
      </c>
    </row>
    <row r="118" spans="1:9" x14ac:dyDescent="0.3">
      <c r="A118" s="9">
        <v>45981</v>
      </c>
      <c r="B118" s="10" t="s">
        <v>479</v>
      </c>
      <c r="C118" s="10" t="s">
        <v>26</v>
      </c>
      <c r="D118" s="10" t="s">
        <v>53</v>
      </c>
      <c r="E118" s="10" t="s">
        <v>157</v>
      </c>
      <c r="F118" s="10" t="s">
        <v>114</v>
      </c>
      <c r="G118" s="11">
        <v>2299</v>
      </c>
      <c r="H118" s="10" t="s">
        <v>414</v>
      </c>
      <c r="I118" s="10" t="s">
        <v>469</v>
      </c>
    </row>
    <row r="119" spans="1:9" x14ac:dyDescent="0.3">
      <c r="A119" s="9">
        <v>45981</v>
      </c>
      <c r="B119" s="10" t="s">
        <v>479</v>
      </c>
      <c r="C119" s="10" t="s">
        <v>74</v>
      </c>
      <c r="D119" s="10" t="s">
        <v>167</v>
      </c>
      <c r="E119" s="10" t="s">
        <v>38</v>
      </c>
      <c r="F119" s="10" t="s">
        <v>33</v>
      </c>
      <c r="G119" s="11">
        <v>9800</v>
      </c>
      <c r="H119" s="10" t="s">
        <v>418</v>
      </c>
      <c r="I119" s="10" t="s">
        <v>469</v>
      </c>
    </row>
    <row r="120" spans="1:9" x14ac:dyDescent="0.3">
      <c r="A120" s="9">
        <v>45984</v>
      </c>
      <c r="B120" s="10" t="s">
        <v>479</v>
      </c>
      <c r="C120" s="10" t="s">
        <v>26</v>
      </c>
      <c r="D120" s="10" t="s">
        <v>62</v>
      </c>
      <c r="E120" s="10" t="s">
        <v>126</v>
      </c>
      <c r="F120" s="10" t="s">
        <v>79</v>
      </c>
      <c r="G120" s="11">
        <v>790</v>
      </c>
      <c r="H120" s="10" t="s">
        <v>420</v>
      </c>
      <c r="I120" s="10" t="s">
        <v>469</v>
      </c>
    </row>
    <row r="121" spans="1:9" x14ac:dyDescent="0.3">
      <c r="A121" s="9">
        <v>45985</v>
      </c>
      <c r="B121" s="10" t="s">
        <v>479</v>
      </c>
      <c r="C121" s="10" t="s">
        <v>74</v>
      </c>
      <c r="D121" s="10" t="s">
        <v>198</v>
      </c>
      <c r="E121" s="10" t="s">
        <v>38</v>
      </c>
      <c r="F121" s="10" t="s">
        <v>33</v>
      </c>
      <c r="G121" s="11">
        <v>9800</v>
      </c>
      <c r="H121" s="10" t="s">
        <v>423</v>
      </c>
      <c r="I121" s="10" t="s">
        <v>469</v>
      </c>
    </row>
    <row r="122" spans="1:9" x14ac:dyDescent="0.3">
      <c r="A122" s="9">
        <v>45999</v>
      </c>
      <c r="B122" s="10" t="s">
        <v>480</v>
      </c>
      <c r="C122" s="10" t="s">
        <v>26</v>
      </c>
      <c r="D122" s="10" t="s">
        <v>81</v>
      </c>
      <c r="E122" s="10" t="s">
        <v>92</v>
      </c>
      <c r="F122" s="10" t="s">
        <v>90</v>
      </c>
      <c r="G122" s="11">
        <v>15859</v>
      </c>
      <c r="H122" s="10" t="s">
        <v>426</v>
      </c>
      <c r="I122" s="10" t="s">
        <v>469</v>
      </c>
    </row>
    <row r="123" spans="1:9" x14ac:dyDescent="0.3">
      <c r="A123" s="9">
        <v>45999</v>
      </c>
      <c r="B123" s="10" t="s">
        <v>480</v>
      </c>
      <c r="C123" s="10" t="s">
        <v>74</v>
      </c>
      <c r="D123" s="10" t="s">
        <v>159</v>
      </c>
      <c r="E123" s="10" t="s">
        <v>38</v>
      </c>
      <c r="F123" s="10" t="s">
        <v>33</v>
      </c>
      <c r="G123" s="11">
        <v>10400</v>
      </c>
      <c r="H123" s="10" t="s">
        <v>429</v>
      </c>
      <c r="I123" s="10" t="s">
        <v>469</v>
      </c>
    </row>
    <row r="124" spans="1:9" x14ac:dyDescent="0.3">
      <c r="A124" s="9">
        <v>46002</v>
      </c>
      <c r="B124" s="10" t="s">
        <v>480</v>
      </c>
      <c r="C124" s="10" t="s">
        <v>26</v>
      </c>
      <c r="D124" s="10" t="s">
        <v>124</v>
      </c>
      <c r="E124" s="10" t="s">
        <v>44</v>
      </c>
      <c r="F124" s="10" t="s">
        <v>40</v>
      </c>
      <c r="G124" s="11">
        <v>10347</v>
      </c>
      <c r="H124" s="10" t="s">
        <v>431</v>
      </c>
      <c r="I124" s="10" t="s">
        <v>469</v>
      </c>
    </row>
    <row r="125" spans="1:9" x14ac:dyDescent="0.3">
      <c r="A125" s="9">
        <v>46003</v>
      </c>
      <c r="B125" s="10" t="s">
        <v>480</v>
      </c>
      <c r="C125" s="10" t="s">
        <v>74</v>
      </c>
      <c r="D125" s="10" t="s">
        <v>167</v>
      </c>
      <c r="E125" s="10" t="s">
        <v>38</v>
      </c>
      <c r="F125" s="10" t="s">
        <v>33</v>
      </c>
      <c r="G125" s="11">
        <v>10400</v>
      </c>
      <c r="H125" s="10" t="s">
        <v>434</v>
      </c>
      <c r="I125" s="10" t="s">
        <v>469</v>
      </c>
    </row>
    <row r="126" spans="1:9" x14ac:dyDescent="0.3">
      <c r="A126" s="9">
        <v>46005</v>
      </c>
      <c r="B126" s="10" t="s">
        <v>480</v>
      </c>
      <c r="C126" s="10" t="s">
        <v>26</v>
      </c>
      <c r="D126" s="10" t="s">
        <v>42</v>
      </c>
      <c r="E126" s="10" t="s">
        <v>55</v>
      </c>
      <c r="F126" s="10" t="s">
        <v>52</v>
      </c>
      <c r="G126" s="11">
        <v>1381</v>
      </c>
      <c r="H126" s="10" t="s">
        <v>437</v>
      </c>
      <c r="I126" s="10" t="s">
        <v>469</v>
      </c>
    </row>
    <row r="127" spans="1:9" x14ac:dyDescent="0.3">
      <c r="A127" s="9">
        <v>46007</v>
      </c>
      <c r="B127" s="10" t="s">
        <v>480</v>
      </c>
      <c r="C127" s="10" t="s">
        <v>74</v>
      </c>
      <c r="D127" s="10" t="s">
        <v>198</v>
      </c>
      <c r="E127" s="10" t="s">
        <v>38</v>
      </c>
      <c r="F127" s="10" t="s">
        <v>33</v>
      </c>
      <c r="G127" s="11">
        <v>10400</v>
      </c>
      <c r="H127" s="10" t="s">
        <v>439</v>
      </c>
      <c r="I127" s="10" t="s">
        <v>469</v>
      </c>
    </row>
    <row r="128" spans="1:9" x14ac:dyDescent="0.3">
      <c r="A128" s="9">
        <v>46008</v>
      </c>
      <c r="B128" s="10" t="s">
        <v>480</v>
      </c>
      <c r="C128" s="10" t="s">
        <v>26</v>
      </c>
      <c r="D128" s="10" t="s">
        <v>53</v>
      </c>
      <c r="E128" s="10" t="s">
        <v>64</v>
      </c>
      <c r="F128" s="10" t="s">
        <v>151</v>
      </c>
      <c r="G128" s="11">
        <v>1194</v>
      </c>
      <c r="H128" s="10" t="s">
        <v>441</v>
      </c>
      <c r="I128" s="10" t="s">
        <v>469</v>
      </c>
    </row>
    <row r="129" spans="1:9" x14ac:dyDescent="0.3">
      <c r="A129" s="9">
        <v>46011</v>
      </c>
      <c r="B129" s="10" t="s">
        <v>480</v>
      </c>
      <c r="C129" s="10" t="s">
        <v>26</v>
      </c>
      <c r="D129" s="10" t="s">
        <v>62</v>
      </c>
      <c r="E129" s="10" t="s">
        <v>157</v>
      </c>
      <c r="F129" s="10" t="s">
        <v>67</v>
      </c>
      <c r="G129" s="11">
        <v>4233</v>
      </c>
      <c r="H129" s="10" t="s">
        <v>444</v>
      </c>
      <c r="I129" s="10" t="s">
        <v>469</v>
      </c>
    </row>
    <row r="130" spans="1:9" x14ac:dyDescent="0.3">
      <c r="A130" s="9">
        <v>46011</v>
      </c>
      <c r="B130" s="10" t="s">
        <v>480</v>
      </c>
      <c r="C130" s="10" t="s">
        <v>74</v>
      </c>
      <c r="D130" s="10" t="s">
        <v>205</v>
      </c>
      <c r="E130" s="10" t="s">
        <v>38</v>
      </c>
      <c r="F130" s="10" t="s">
        <v>33</v>
      </c>
      <c r="G130" s="11">
        <v>10400</v>
      </c>
      <c r="H130" s="10" t="s">
        <v>447</v>
      </c>
      <c r="I130" s="10" t="s">
        <v>469</v>
      </c>
    </row>
    <row r="131" spans="1:9" x14ac:dyDescent="0.3">
      <c r="A131" s="9">
        <v>46014</v>
      </c>
      <c r="B131" s="10" t="s">
        <v>480</v>
      </c>
      <c r="C131" s="10" t="s">
        <v>26</v>
      </c>
      <c r="D131" s="10" t="s">
        <v>69</v>
      </c>
      <c r="E131" s="10" t="s">
        <v>126</v>
      </c>
      <c r="F131" s="10" t="s">
        <v>79</v>
      </c>
      <c r="G131" s="11">
        <v>11102</v>
      </c>
      <c r="H131" s="10" t="s">
        <v>450</v>
      </c>
      <c r="I131" s="10" t="s">
        <v>469</v>
      </c>
    </row>
    <row r="132" spans="1:9" x14ac:dyDescent="0.3">
      <c r="A132" s="9">
        <v>46015</v>
      </c>
      <c r="B132" s="10" t="s">
        <v>480</v>
      </c>
      <c r="C132" s="10" t="s">
        <v>74</v>
      </c>
      <c r="D132" s="10" t="s">
        <v>252</v>
      </c>
      <c r="E132" s="10" t="s">
        <v>38</v>
      </c>
      <c r="F132" s="10" t="s">
        <v>33</v>
      </c>
      <c r="G132" s="11">
        <v>10400</v>
      </c>
      <c r="H132" s="10" t="s">
        <v>452</v>
      </c>
      <c r="I132" s="10" t="s">
        <v>469</v>
      </c>
    </row>
  </sheetData>
  <autoFilter ref="A1:I132"/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4"/>
  <sheetViews>
    <sheetView showGridLines="0" zoomScale="90" workbookViewId="0">
      <pane ySplit="1" topLeftCell="A2" activePane="bottomLeft" state="frozen"/>
      <selection pane="bottomLeft" activeCell="B14" sqref="B14"/>
    </sheetView>
  </sheetViews>
  <sheetFormatPr defaultRowHeight="14.4" x14ac:dyDescent="0.3"/>
  <cols>
    <col min="1" max="1" width="14" customWidth="1"/>
    <col min="2" max="3" width="38" customWidth="1"/>
    <col min="4" max="4" width="18" customWidth="1"/>
    <col min="5" max="5" width="21" customWidth="1"/>
  </cols>
  <sheetData>
    <row r="1" spans="1:5" ht="30" customHeight="1" x14ac:dyDescent="0.3">
      <c r="A1" s="3" t="s">
        <v>460</v>
      </c>
      <c r="B1" s="3" t="s">
        <v>481</v>
      </c>
      <c r="C1" s="3" t="s">
        <v>482</v>
      </c>
      <c r="D1" s="3" t="s">
        <v>483</v>
      </c>
      <c r="E1" s="3" t="s">
        <v>484</v>
      </c>
    </row>
    <row r="2" spans="1:5" x14ac:dyDescent="0.3">
      <c r="A2" s="12">
        <v>45658</v>
      </c>
      <c r="B2" s="13">
        <f>SUMIFS(CLEAN_TRANSACTIONS!$G:$G,CLEAN_TRANSACTIONS!$B:$B,TEXT(A2,"mmm"),CLEAN_TRANSACTIONS!$C:$C,"Revenue")</f>
        <v>32000</v>
      </c>
      <c r="C2" s="13">
        <f>SUMIFS(CLEAN_TRANSACTIONS!$G:$G,CLEAN_TRANSACTIONS!$B:$B,TEXT(A2,"mmm"),CLEAN_TRANSACTIONS!$C:$C,"Expense")</f>
        <v>33130</v>
      </c>
      <c r="D2" s="13">
        <f t="shared" ref="D2:D13" si="0">B2-C2</f>
        <v>-1130</v>
      </c>
      <c r="E2" s="14">
        <f t="shared" ref="E2:E14" si="1">IFERROR(D2/B2,0)</f>
        <v>-3.5312499999999997E-2</v>
      </c>
    </row>
    <row r="3" spans="1:5" x14ac:dyDescent="0.3">
      <c r="A3" s="12">
        <v>45689</v>
      </c>
      <c r="B3" s="13">
        <f>SUMIFS(CLEAN_TRANSACTIONS!$G:$G,CLEAN_TRANSACTIONS!$B:$B,TEXT(A3,"mmm"),CLEAN_TRANSACTIONS!$C:$C,"Revenue")</f>
        <v>35000</v>
      </c>
      <c r="C3" s="13">
        <f>SUMIFS(CLEAN_TRANSACTIONS!$G:$G,CLEAN_TRANSACTIONS!$B:$B,TEXT(A3,"mmm"),CLEAN_TRANSACTIONS!$C:$C,"Expense")</f>
        <v>34635</v>
      </c>
      <c r="D3" s="13">
        <f t="shared" si="0"/>
        <v>365</v>
      </c>
      <c r="E3" s="14">
        <f t="shared" si="1"/>
        <v>1.0428571428571429E-2</v>
      </c>
    </row>
    <row r="4" spans="1:5" x14ac:dyDescent="0.3">
      <c r="A4" s="12">
        <v>45717</v>
      </c>
      <c r="B4" s="13">
        <f>SUMIFS(CLEAN_TRANSACTIONS!$G:$G,CLEAN_TRANSACTIONS!$B:$B,TEXT(A4,"mmm"),CLEAN_TRANSACTIONS!$C:$C,"Revenue")</f>
        <v>37000</v>
      </c>
      <c r="C4" s="13">
        <f>SUMIFS(CLEAN_TRANSACTIONS!$G:$G,CLEAN_TRANSACTIONS!$B:$B,TEXT(A4,"mmm"),CLEAN_TRANSACTIONS!$C:$C,"Expense")</f>
        <v>35149</v>
      </c>
      <c r="D4" s="13">
        <f t="shared" si="0"/>
        <v>1851</v>
      </c>
      <c r="E4" s="14">
        <f t="shared" si="1"/>
        <v>5.0027027027027028E-2</v>
      </c>
    </row>
    <row r="5" spans="1:5" x14ac:dyDescent="0.3">
      <c r="A5" s="12">
        <v>45748</v>
      </c>
      <c r="B5" s="13">
        <f>SUMIFS(CLEAN_TRANSACTIONS!$G:$G,CLEAN_TRANSACTIONS!$B:$B,TEXT(A5,"mmm"),CLEAN_TRANSACTIONS!$C:$C,"Revenue")</f>
        <v>38000</v>
      </c>
      <c r="C5" s="13">
        <f>SUMIFS(CLEAN_TRANSACTIONS!$G:$G,CLEAN_TRANSACTIONS!$B:$B,TEXT(A5,"mmm"),CLEAN_TRANSACTIONS!$C:$C,"Expense")</f>
        <v>36604</v>
      </c>
      <c r="D5" s="13">
        <f t="shared" si="0"/>
        <v>1396</v>
      </c>
      <c r="E5" s="14">
        <f t="shared" si="1"/>
        <v>3.6736842105263158E-2</v>
      </c>
    </row>
    <row r="6" spans="1:5" x14ac:dyDescent="0.3">
      <c r="A6" s="12">
        <v>45778</v>
      </c>
      <c r="B6" s="13">
        <f>SUMIFS(CLEAN_TRANSACTIONS!$G:$G,CLEAN_TRANSACTIONS!$B:$B,TEXT(A6,"mmm"),CLEAN_TRANSACTIONS!$C:$C,"Revenue")</f>
        <v>40000</v>
      </c>
      <c r="C6" s="13">
        <f>SUMIFS(CLEAN_TRANSACTIONS!$G:$G,CLEAN_TRANSACTIONS!$B:$B,TEXT(A6,"mmm"),CLEAN_TRANSACTIONS!$C:$C,"Expense")</f>
        <v>36475</v>
      </c>
      <c r="D6" s="13">
        <f t="shared" si="0"/>
        <v>3525</v>
      </c>
      <c r="E6" s="14">
        <f t="shared" si="1"/>
        <v>8.8124999999999995E-2</v>
      </c>
    </row>
    <row r="7" spans="1:5" x14ac:dyDescent="0.3">
      <c r="A7" s="12">
        <v>45809</v>
      </c>
      <c r="B7" s="13">
        <f>SUMIFS(CLEAN_TRANSACTIONS!$G:$G,CLEAN_TRANSACTIONS!$B:$B,TEXT(A7,"mmm"),CLEAN_TRANSACTIONS!$C:$C,"Revenue")</f>
        <v>42000</v>
      </c>
      <c r="C7" s="13">
        <f>SUMIFS(CLEAN_TRANSACTIONS!$G:$G,CLEAN_TRANSACTIONS!$B:$B,TEXT(A7,"mmm"),CLEAN_TRANSACTIONS!$C:$C,"Expense")</f>
        <v>37982</v>
      </c>
      <c r="D7" s="13">
        <f t="shared" si="0"/>
        <v>4018</v>
      </c>
      <c r="E7" s="14">
        <f t="shared" si="1"/>
        <v>9.5666666666666664E-2</v>
      </c>
    </row>
    <row r="8" spans="1:5" x14ac:dyDescent="0.3">
      <c r="A8" s="12">
        <v>45839</v>
      </c>
      <c r="B8" s="13">
        <f>SUMIFS(CLEAN_TRANSACTIONS!$G:$G,CLEAN_TRANSACTIONS!$B:$B,TEXT(A8,"mmm"),CLEAN_TRANSACTIONS!$C:$C,"Revenue")</f>
        <v>43000</v>
      </c>
      <c r="C8" s="13">
        <f>SUMIFS(CLEAN_TRANSACTIONS!$G:$G,CLEAN_TRANSACTIONS!$B:$B,TEXT(A8,"mmm"),CLEAN_TRANSACTIONS!$C:$C,"Expense")</f>
        <v>38511</v>
      </c>
      <c r="D8" s="13">
        <f t="shared" si="0"/>
        <v>4489</v>
      </c>
      <c r="E8" s="14">
        <f t="shared" si="1"/>
        <v>0.1043953488372093</v>
      </c>
    </row>
    <row r="9" spans="1:5" x14ac:dyDescent="0.3">
      <c r="A9" s="12">
        <v>45870</v>
      </c>
      <c r="B9" s="13">
        <f>SUMIFS(CLEAN_TRANSACTIONS!$G:$G,CLEAN_TRANSACTIONS!$B:$B,TEXT(A9,"mmm"),CLEAN_TRANSACTIONS!$C:$C,"Revenue")</f>
        <v>44500</v>
      </c>
      <c r="C9" s="13">
        <f>SUMIFS(CLEAN_TRANSACTIONS!$G:$G,CLEAN_TRANSACTIONS!$B:$B,TEXT(A9,"mmm"),CLEAN_TRANSACTIONS!$C:$C,"Expense")</f>
        <v>39806</v>
      </c>
      <c r="D9" s="13">
        <f t="shared" si="0"/>
        <v>4694</v>
      </c>
      <c r="E9" s="14">
        <f t="shared" si="1"/>
        <v>0.10548314606741573</v>
      </c>
    </row>
    <row r="10" spans="1:5" x14ac:dyDescent="0.3">
      <c r="A10" s="12">
        <v>45901</v>
      </c>
      <c r="B10" s="13">
        <f>SUMIFS(CLEAN_TRANSACTIONS!$G:$G,CLEAN_TRANSACTIONS!$B:$B,TEXT(A10,"mmm"),CLEAN_TRANSACTIONS!$C:$C,"Revenue")</f>
        <v>46000</v>
      </c>
      <c r="C10" s="13">
        <f>SUMIFS(CLEAN_TRANSACTIONS!$G:$G,CLEAN_TRANSACTIONS!$B:$B,TEXT(A10,"mmm"),CLEAN_TRANSACTIONS!$C:$C,"Expense")</f>
        <v>39715</v>
      </c>
      <c r="D10" s="13">
        <f t="shared" si="0"/>
        <v>6285</v>
      </c>
      <c r="E10" s="14">
        <f t="shared" si="1"/>
        <v>0.1366304347826087</v>
      </c>
    </row>
    <row r="11" spans="1:5" x14ac:dyDescent="0.3">
      <c r="A11" s="12">
        <v>45931</v>
      </c>
      <c r="B11" s="13">
        <f>SUMIFS(CLEAN_TRANSACTIONS!$G:$G,CLEAN_TRANSACTIONS!$B:$B,TEXT(A11,"mmm"),CLEAN_TRANSACTIONS!$C:$C,"Revenue")</f>
        <v>47500</v>
      </c>
      <c r="C11" s="13">
        <f>SUMIFS(CLEAN_TRANSACTIONS!$G:$G,CLEAN_TRANSACTIONS!$B:$B,TEXT(A11,"mmm"),CLEAN_TRANSACTIONS!$C:$C,"Expense")</f>
        <v>40810</v>
      </c>
      <c r="D11" s="13">
        <f t="shared" si="0"/>
        <v>6690</v>
      </c>
      <c r="E11" s="14">
        <f t="shared" si="1"/>
        <v>0.14084210526315791</v>
      </c>
    </row>
    <row r="12" spans="1:5" x14ac:dyDescent="0.3">
      <c r="A12" s="12">
        <v>45962</v>
      </c>
      <c r="B12" s="13">
        <f>SUMIFS(CLEAN_TRANSACTIONS!$G:$G,CLEAN_TRANSACTIONS!$B:$B,TEXT(A12,"mmm"),CLEAN_TRANSACTIONS!$C:$C,"Revenue")</f>
        <v>49000</v>
      </c>
      <c r="C12" s="13">
        <f>SUMIFS(CLEAN_TRANSACTIONS!$G:$G,CLEAN_TRANSACTIONS!$B:$B,TEXT(A12,"mmm"),CLEAN_TRANSACTIONS!$C:$C,"Expense")</f>
        <v>42073</v>
      </c>
      <c r="D12" s="13">
        <f t="shared" si="0"/>
        <v>6927</v>
      </c>
      <c r="E12" s="14">
        <f t="shared" si="1"/>
        <v>0.14136734693877551</v>
      </c>
    </row>
    <row r="13" spans="1:5" x14ac:dyDescent="0.3">
      <c r="A13" s="12">
        <v>45992</v>
      </c>
      <c r="B13" s="13">
        <f>SUMIFS(CLEAN_TRANSACTIONS!$G:$G,CLEAN_TRANSACTIONS!$B:$B,TEXT(A13,"mmm"),CLEAN_TRANSACTIONS!$C:$C,"Revenue")</f>
        <v>52000</v>
      </c>
      <c r="C13" s="13">
        <f>SUMIFS(CLEAN_TRANSACTIONS!$G:$G,CLEAN_TRANSACTIONS!$B:$B,TEXT(A13,"mmm"),CLEAN_TRANSACTIONS!$C:$C,"Expense")</f>
        <v>44116</v>
      </c>
      <c r="D13" s="13">
        <f t="shared" si="0"/>
        <v>7884</v>
      </c>
      <c r="E13" s="14">
        <f t="shared" si="1"/>
        <v>0.15161538461538462</v>
      </c>
    </row>
    <row r="14" spans="1:5" x14ac:dyDescent="0.3">
      <c r="A14" s="15" t="s">
        <v>485</v>
      </c>
      <c r="B14" s="15">
        <f>SUM(B2:B13)</f>
        <v>506000</v>
      </c>
      <c r="C14" s="15">
        <f>SUM(C2:C13)</f>
        <v>459006</v>
      </c>
      <c r="D14" s="15">
        <f>SUM(D2:D13)</f>
        <v>46994</v>
      </c>
      <c r="E14" s="15">
        <f t="shared" si="1"/>
        <v>9.2873517786561263E-2</v>
      </c>
    </row>
  </sheetData>
  <pageMargins left="0.75" right="0.75" top="1" bottom="1" header="0.5" footer="0.5"/>
  <pageSetup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1"/>
  <sheetViews>
    <sheetView showGridLines="0" zoomScale="90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26" customWidth="1"/>
    <col min="2" max="2" width="14" customWidth="1"/>
    <col min="3" max="3" width="22" customWidth="1"/>
  </cols>
  <sheetData>
    <row r="1" spans="1:3" ht="30" customHeight="1" x14ac:dyDescent="0.3">
      <c r="A1" s="3" t="s">
        <v>486</v>
      </c>
      <c r="B1" s="3" t="s">
        <v>487</v>
      </c>
      <c r="C1" s="3" t="s">
        <v>488</v>
      </c>
    </row>
    <row r="2" spans="1:3" x14ac:dyDescent="0.3">
      <c r="A2" t="s">
        <v>38</v>
      </c>
      <c r="B2" s="13">
        <f>SUMIFS(CLEAN_TRANSACTIONS!$G:$G,CLEAN_TRANSACTIONS!$C:$C,"Revenue",CLEAN_TRANSACTIONS!$E:$E,"Service revenue")</f>
        <v>506000</v>
      </c>
      <c r="C2" s="14">
        <v>1</v>
      </c>
    </row>
    <row r="3" spans="1:3" x14ac:dyDescent="0.3">
      <c r="A3" t="s">
        <v>92</v>
      </c>
      <c r="B3" s="13">
        <f>SUMIFS(CLEAN_TRANSACTIONS!$G:$G,CLEAN_TRANSACTIONS!$C:$C,"Expense",CLEAN_TRANSACTIONS!$E:$E,"Cost of services")</f>
        <v>151456</v>
      </c>
      <c r="C3" s="14">
        <v>0.2993201581027668</v>
      </c>
    </row>
    <row r="4" spans="1:3" x14ac:dyDescent="0.3">
      <c r="A4" t="s">
        <v>44</v>
      </c>
      <c r="B4" s="13">
        <f>SUMIFS(CLEAN_TRANSACTIONS!$G:$G,CLEAN_TRANSACTIONS!$C:$C,"Expense",CLEAN_TRANSACTIONS!$E:$E,"Payroll expense")</f>
        <v>183550</v>
      </c>
      <c r="C4" s="14">
        <v>0.36274703557312249</v>
      </c>
    </row>
    <row r="5" spans="1:3" x14ac:dyDescent="0.3">
      <c r="A5" t="s">
        <v>55</v>
      </c>
      <c r="B5" s="13">
        <f>SUMIFS(CLEAN_TRANSACTIONS!$G:$G,CLEAN_TRANSACTIONS!$C:$C,"Expense",CLEAN_TRANSACTIONS!$E:$E,"Marketing expense")</f>
        <v>33200</v>
      </c>
      <c r="C5" s="14">
        <v>6.5612648221343869E-2</v>
      </c>
    </row>
    <row r="6" spans="1:3" x14ac:dyDescent="0.3">
      <c r="A6" t="s">
        <v>64</v>
      </c>
      <c r="B6" s="13">
        <f>SUMIFS(CLEAN_TRANSACTIONS!$G:$G,CLEAN_TRANSACTIONS!$C:$C,"Expense",CLEAN_TRANSACTIONS!$E:$E,"Office rent")</f>
        <v>50400</v>
      </c>
      <c r="C6" s="14">
        <v>9.9604743083003947E-2</v>
      </c>
    </row>
    <row r="7" spans="1:3" x14ac:dyDescent="0.3">
      <c r="A7" t="s">
        <v>157</v>
      </c>
      <c r="B7" s="13">
        <f>SUMIFS(CLEAN_TRANSACTIONS!$G:$G,CLEAN_TRANSACTIONS!$C:$C,"Expense",CLEAN_TRANSACTIONS!$E:$E,"Software &amp; subscriptions")</f>
        <v>15200</v>
      </c>
      <c r="C7" s="14">
        <v>3.0039525691699601E-2</v>
      </c>
    </row>
    <row r="8" spans="1:3" x14ac:dyDescent="0.3">
      <c r="A8" t="s">
        <v>126</v>
      </c>
      <c r="B8" s="13">
        <f>SUMIFS(CLEAN_TRANSACTIONS!$G:$G,CLEAN_TRANSACTIONS!$C:$C,"Expense",CLEAN_TRANSACTIONS!$E:$E,"General &amp; administrative")</f>
        <v>25200</v>
      </c>
      <c r="C8" s="14">
        <v>4.9802371541501973E-2</v>
      </c>
    </row>
    <row r="9" spans="1:3" s="22" customFormat="1" x14ac:dyDescent="0.3">
      <c r="A9" s="22" t="s">
        <v>535</v>
      </c>
      <c r="B9" s="28">
        <f>SUM(B3:B3)</f>
        <v>151456</v>
      </c>
      <c r="C9" s="29"/>
    </row>
    <row r="10" spans="1:3" s="22" customFormat="1" x14ac:dyDescent="0.3">
      <c r="A10" s="22" t="s">
        <v>536</v>
      </c>
      <c r="B10" s="28">
        <f>SUM(B3:B8)</f>
        <v>459006</v>
      </c>
      <c r="C10" s="29">
        <v>0.90712648221343872</v>
      </c>
    </row>
    <row r="11" spans="1:3" s="22" customFormat="1" x14ac:dyDescent="0.3">
      <c r="A11" s="22" t="s">
        <v>489</v>
      </c>
      <c r="B11" s="28">
        <f>B2-B10</f>
        <v>46994</v>
      </c>
      <c r="C11" s="29">
        <v>9.2873517786561263E-2</v>
      </c>
    </row>
  </sheetData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9"/>
  <sheetViews>
    <sheetView zoomScale="90" workbookViewId="0">
      <pane ySplit="1" topLeftCell="A2" activePane="bottomLeft" state="frozen"/>
      <selection pane="bottomLeft" activeCell="C19" sqref="C19"/>
    </sheetView>
  </sheetViews>
  <sheetFormatPr defaultRowHeight="14.4" x14ac:dyDescent="0.3"/>
  <cols>
    <col min="1" max="1" width="27" customWidth="1"/>
    <col min="2" max="2" width="24" customWidth="1"/>
    <col min="3" max="3" width="20" customWidth="1"/>
    <col min="4" max="4" width="12" customWidth="1"/>
  </cols>
  <sheetData>
    <row r="1" spans="1:4" ht="30" customHeight="1" x14ac:dyDescent="0.3">
      <c r="A1" s="3" t="s">
        <v>490</v>
      </c>
      <c r="B1" s="3" t="s">
        <v>491</v>
      </c>
      <c r="C1" s="3" t="s">
        <v>492</v>
      </c>
      <c r="D1" s="3" t="s">
        <v>20</v>
      </c>
    </row>
    <row r="2" spans="1:4" x14ac:dyDescent="0.3">
      <c r="A2" t="s">
        <v>291</v>
      </c>
      <c r="B2" s="16">
        <v>45713</v>
      </c>
      <c r="C2" s="17">
        <v>3200</v>
      </c>
      <c r="D2" t="s">
        <v>493</v>
      </c>
    </row>
    <row r="3" spans="1:4" x14ac:dyDescent="0.3">
      <c r="A3" t="s">
        <v>35</v>
      </c>
      <c r="B3" s="16">
        <v>45722</v>
      </c>
      <c r="C3" s="17">
        <v>4100</v>
      </c>
      <c r="D3" t="s">
        <v>493</v>
      </c>
    </row>
    <row r="4" spans="1:4" x14ac:dyDescent="0.3">
      <c r="A4" t="s">
        <v>48</v>
      </c>
      <c r="B4" s="16">
        <v>45731</v>
      </c>
      <c r="C4" s="17">
        <v>2750</v>
      </c>
      <c r="D4" t="s">
        <v>493</v>
      </c>
    </row>
    <row r="5" spans="1:4" x14ac:dyDescent="0.3">
      <c r="A5" t="s">
        <v>58</v>
      </c>
      <c r="B5" s="16">
        <v>45767</v>
      </c>
      <c r="C5" s="17">
        <v>4800</v>
      </c>
      <c r="D5" t="s">
        <v>493</v>
      </c>
    </row>
    <row r="6" spans="1:4" x14ac:dyDescent="0.3">
      <c r="A6" t="s">
        <v>75</v>
      </c>
      <c r="B6" s="16">
        <v>45776</v>
      </c>
      <c r="C6" s="17">
        <v>2250</v>
      </c>
      <c r="D6" t="s">
        <v>493</v>
      </c>
    </row>
    <row r="7" spans="1:4" x14ac:dyDescent="0.3">
      <c r="A7" t="s">
        <v>86</v>
      </c>
      <c r="B7" s="16">
        <v>45803</v>
      </c>
      <c r="C7" s="17">
        <v>1850</v>
      </c>
      <c r="D7" t="s">
        <v>493</v>
      </c>
    </row>
    <row r="8" spans="1:4" x14ac:dyDescent="0.3">
      <c r="A8" t="s">
        <v>119</v>
      </c>
      <c r="B8" s="16">
        <v>45812</v>
      </c>
      <c r="C8" s="17">
        <v>2400</v>
      </c>
      <c r="D8" t="s">
        <v>493</v>
      </c>
    </row>
    <row r="9" spans="1:4" x14ac:dyDescent="0.3">
      <c r="A9" t="s">
        <v>129</v>
      </c>
      <c r="B9" s="16">
        <v>45848</v>
      </c>
      <c r="C9" s="17">
        <v>5600</v>
      </c>
      <c r="D9" t="s">
        <v>493</v>
      </c>
    </row>
    <row r="10" spans="1:4" x14ac:dyDescent="0.3">
      <c r="A10" t="s">
        <v>159</v>
      </c>
      <c r="B10" s="16">
        <v>45857</v>
      </c>
      <c r="C10" s="17">
        <v>1950</v>
      </c>
      <c r="D10" t="s">
        <v>493</v>
      </c>
    </row>
    <row r="11" spans="1:4" x14ac:dyDescent="0.3">
      <c r="A11" t="s">
        <v>167</v>
      </c>
      <c r="B11" s="16">
        <v>45866</v>
      </c>
      <c r="C11" s="17">
        <v>3650</v>
      </c>
      <c r="D11" t="s">
        <v>493</v>
      </c>
    </row>
    <row r="12" spans="1:4" x14ac:dyDescent="0.3">
      <c r="A12" t="s">
        <v>198</v>
      </c>
      <c r="B12" s="16">
        <v>45893</v>
      </c>
      <c r="C12" s="17">
        <v>6100</v>
      </c>
      <c r="D12" t="s">
        <v>493</v>
      </c>
    </row>
    <row r="13" spans="1:4" x14ac:dyDescent="0.3">
      <c r="A13" t="s">
        <v>86</v>
      </c>
      <c r="B13" s="16">
        <v>45911</v>
      </c>
      <c r="C13" s="17">
        <v>1850</v>
      </c>
      <c r="D13" t="s">
        <v>493</v>
      </c>
    </row>
    <row r="14" spans="1:4" x14ac:dyDescent="0.3">
      <c r="A14" t="s">
        <v>35</v>
      </c>
      <c r="B14" s="16">
        <v>45938</v>
      </c>
      <c r="C14" s="17">
        <v>4100</v>
      </c>
      <c r="D14" t="s">
        <v>493</v>
      </c>
    </row>
    <row r="15" spans="1:4" x14ac:dyDescent="0.3">
      <c r="A15" t="s">
        <v>48</v>
      </c>
      <c r="B15" s="16">
        <v>45947</v>
      </c>
      <c r="C15" s="17">
        <v>2750</v>
      </c>
      <c r="D15" t="s">
        <v>493</v>
      </c>
    </row>
    <row r="16" spans="1:4" x14ac:dyDescent="0.3">
      <c r="A16" t="s">
        <v>129</v>
      </c>
      <c r="B16" s="16">
        <v>45956</v>
      </c>
      <c r="C16" s="17">
        <v>5600</v>
      </c>
      <c r="D16" t="s">
        <v>493</v>
      </c>
    </row>
    <row r="17" spans="1:4" x14ac:dyDescent="0.3">
      <c r="A17" t="s">
        <v>58</v>
      </c>
      <c r="B17" s="16">
        <v>45983</v>
      </c>
      <c r="C17" s="17">
        <v>4800</v>
      </c>
      <c r="D17" t="s">
        <v>493</v>
      </c>
    </row>
    <row r="18" spans="1:4" x14ac:dyDescent="0.3">
      <c r="A18" t="s">
        <v>75</v>
      </c>
      <c r="B18" s="16">
        <v>45992</v>
      </c>
      <c r="C18" s="17">
        <v>2250</v>
      </c>
      <c r="D18" t="s">
        <v>493</v>
      </c>
    </row>
    <row r="19" spans="1:4" x14ac:dyDescent="0.3">
      <c r="A19" t="s">
        <v>198</v>
      </c>
      <c r="B19" s="16">
        <v>46001</v>
      </c>
      <c r="C19" s="17">
        <v>6100</v>
      </c>
      <c r="D19" t="s">
        <v>493</v>
      </c>
    </row>
  </sheetData>
  <autoFilter ref="A1:D19"/>
  <pageMargins left="0.75" right="0.75" top="1" bottom="1" header="0.5" footer="0.5"/>
  <pageSetup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9"/>
  <sheetViews>
    <sheetView zoomScale="9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24" customWidth="1"/>
    <col min="3" max="3" width="20" customWidth="1"/>
    <col min="4" max="4" width="12" customWidth="1"/>
  </cols>
  <sheetData>
    <row r="1" spans="1:4" ht="30" customHeight="1" x14ac:dyDescent="0.3">
      <c r="A1" s="3" t="s">
        <v>494</v>
      </c>
      <c r="B1" s="3" t="s">
        <v>491</v>
      </c>
      <c r="C1" s="3" t="s">
        <v>492</v>
      </c>
      <c r="D1" s="3" t="s">
        <v>20</v>
      </c>
    </row>
    <row r="2" spans="1:4" x14ac:dyDescent="0.3">
      <c r="A2" t="s">
        <v>124</v>
      </c>
      <c r="B2" s="16">
        <v>45691</v>
      </c>
      <c r="C2" s="17">
        <v>450</v>
      </c>
      <c r="D2" t="s">
        <v>493</v>
      </c>
    </row>
    <row r="3" spans="1:4" x14ac:dyDescent="0.3">
      <c r="A3" t="s">
        <v>42</v>
      </c>
      <c r="B3" s="16">
        <v>45735</v>
      </c>
      <c r="C3" s="17">
        <v>1950</v>
      </c>
      <c r="D3" t="s">
        <v>493</v>
      </c>
    </row>
    <row r="4" spans="1:4" x14ac:dyDescent="0.3">
      <c r="A4" t="s">
        <v>53</v>
      </c>
      <c r="B4" s="16">
        <v>45779</v>
      </c>
      <c r="C4" s="17">
        <v>2100</v>
      </c>
      <c r="D4" t="s">
        <v>493</v>
      </c>
    </row>
    <row r="5" spans="1:4" x14ac:dyDescent="0.3">
      <c r="A5" t="s">
        <v>124</v>
      </c>
      <c r="B5" s="16">
        <v>45823</v>
      </c>
      <c r="C5" s="17">
        <v>2850</v>
      </c>
      <c r="D5" t="s">
        <v>493</v>
      </c>
    </row>
    <row r="6" spans="1:4" x14ac:dyDescent="0.3">
      <c r="A6" t="s">
        <v>42</v>
      </c>
      <c r="B6" s="16">
        <v>45867</v>
      </c>
      <c r="C6" s="17">
        <v>620</v>
      </c>
      <c r="D6" t="s">
        <v>493</v>
      </c>
    </row>
    <row r="7" spans="1:4" x14ac:dyDescent="0.3">
      <c r="A7" t="s">
        <v>53</v>
      </c>
      <c r="B7" s="16">
        <v>45911</v>
      </c>
      <c r="C7" s="17">
        <v>450</v>
      </c>
      <c r="D7" t="s">
        <v>493</v>
      </c>
    </row>
    <row r="8" spans="1:4" x14ac:dyDescent="0.3">
      <c r="A8" t="s">
        <v>124</v>
      </c>
      <c r="B8" s="16">
        <v>45955</v>
      </c>
      <c r="C8" s="17">
        <v>1950</v>
      </c>
      <c r="D8" t="s">
        <v>493</v>
      </c>
    </row>
    <row r="9" spans="1:4" x14ac:dyDescent="0.3">
      <c r="A9" t="s">
        <v>42</v>
      </c>
      <c r="B9" s="16">
        <v>45999</v>
      </c>
      <c r="C9" s="17">
        <v>2100</v>
      </c>
      <c r="D9" t="s">
        <v>493</v>
      </c>
    </row>
  </sheetData>
  <autoFilter ref="A1:D9"/>
  <pageMargins left="0.75" right="0.75" top="1" bottom="1" header="0.5" footer="0.5"/>
  <pageSetup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9"/>
  <sheetViews>
    <sheetView zoomScale="90" workbookViewId="0">
      <pane ySplit="1" topLeftCell="A2" activePane="bottomLeft" state="frozen"/>
      <selection pane="bottomLeft" activeCell="E13" sqref="E13"/>
    </sheetView>
  </sheetViews>
  <sheetFormatPr defaultRowHeight="14.4" x14ac:dyDescent="0.3"/>
  <cols>
    <col min="1" max="1" width="27" customWidth="1"/>
    <col min="2" max="2" width="35" customWidth="1"/>
    <col min="3" max="3" width="22" customWidth="1"/>
  </cols>
  <sheetData>
    <row r="1" spans="1:2" ht="30" customHeight="1" x14ac:dyDescent="0.3">
      <c r="A1" s="3" t="s">
        <v>495</v>
      </c>
      <c r="B1" s="3" t="s">
        <v>496</v>
      </c>
    </row>
    <row r="2" spans="1:2" x14ac:dyDescent="0.3">
      <c r="A2" t="s">
        <v>497</v>
      </c>
      <c r="B2" s="13">
        <v>221500</v>
      </c>
    </row>
    <row r="3" spans="1:2" x14ac:dyDescent="0.3">
      <c r="A3" t="s">
        <v>498</v>
      </c>
      <c r="B3" s="13">
        <v>42870</v>
      </c>
    </row>
    <row r="4" spans="1:2" x14ac:dyDescent="0.3">
      <c r="A4" t="s">
        <v>499</v>
      </c>
      <c r="B4" s="13">
        <v>178630</v>
      </c>
    </row>
    <row r="5" spans="1:2" x14ac:dyDescent="0.3">
      <c r="A5" s="15" t="s">
        <v>500</v>
      </c>
      <c r="B5" s="18">
        <f>B3+B4</f>
        <v>221500</v>
      </c>
    </row>
    <row r="6" spans="1:2" x14ac:dyDescent="0.3">
      <c r="A6" s="15" t="s">
        <v>501</v>
      </c>
      <c r="B6" s="18">
        <f>B2-B5</f>
        <v>0</v>
      </c>
    </row>
    <row r="7" spans="1:2" x14ac:dyDescent="0.3">
      <c r="A7" t="s">
        <v>502</v>
      </c>
      <c r="B7" s="13">
        <v>0</v>
      </c>
    </row>
    <row r="9" spans="1:2" x14ac:dyDescent="0.3">
      <c r="A9" s="23" t="s">
        <v>486</v>
      </c>
      <c r="B9" s="23" t="s">
        <v>465</v>
      </c>
    </row>
    <row r="10" spans="1:2" x14ac:dyDescent="0.3">
      <c r="A10" s="24" t="s">
        <v>520</v>
      </c>
      <c r="B10" s="25">
        <v>48500</v>
      </c>
    </row>
    <row r="11" spans="1:2" x14ac:dyDescent="0.3">
      <c r="A11" s="24" t="s">
        <v>521</v>
      </c>
      <c r="B11" s="25">
        <v>66100</v>
      </c>
    </row>
    <row r="12" spans="1:2" x14ac:dyDescent="0.3">
      <c r="A12" s="24" t="s">
        <v>522</v>
      </c>
      <c r="B12" s="25">
        <v>12400</v>
      </c>
    </row>
    <row r="13" spans="1:2" x14ac:dyDescent="0.3">
      <c r="A13" s="24" t="s">
        <v>523</v>
      </c>
      <c r="B13" s="25">
        <v>6500</v>
      </c>
    </row>
    <row r="14" spans="1:2" x14ac:dyDescent="0.3">
      <c r="A14" s="24" t="s">
        <v>524</v>
      </c>
      <c r="B14" s="25">
        <v>58000</v>
      </c>
    </row>
    <row r="15" spans="1:2" x14ac:dyDescent="0.3">
      <c r="A15" s="24" t="s">
        <v>525</v>
      </c>
      <c r="B15" s="25">
        <v>30000</v>
      </c>
    </row>
    <row r="16" spans="1:2" s="22" customFormat="1" x14ac:dyDescent="0.3">
      <c r="A16" s="26" t="s">
        <v>497</v>
      </c>
      <c r="B16" s="27">
        <v>221500</v>
      </c>
    </row>
    <row r="17" spans="1:2" x14ac:dyDescent="0.3">
      <c r="A17" s="24" t="s">
        <v>526</v>
      </c>
      <c r="B17" s="25">
        <v>12470</v>
      </c>
    </row>
    <row r="18" spans="1:2" x14ac:dyDescent="0.3">
      <c r="A18" s="24" t="s">
        <v>527</v>
      </c>
      <c r="B18" s="25">
        <v>8400</v>
      </c>
    </row>
    <row r="19" spans="1:2" x14ac:dyDescent="0.3">
      <c r="A19" s="24" t="s">
        <v>528</v>
      </c>
      <c r="B19" s="25">
        <v>5000</v>
      </c>
    </row>
    <row r="20" spans="1:2" x14ac:dyDescent="0.3">
      <c r="A20" s="24" t="s">
        <v>529</v>
      </c>
      <c r="B20" s="25">
        <v>7000</v>
      </c>
    </row>
    <row r="21" spans="1:2" x14ac:dyDescent="0.3">
      <c r="A21" s="24" t="s">
        <v>530</v>
      </c>
      <c r="B21" s="25">
        <v>10000</v>
      </c>
    </row>
    <row r="22" spans="1:2" s="22" customFormat="1" x14ac:dyDescent="0.3">
      <c r="A22" s="26" t="s">
        <v>498</v>
      </c>
      <c r="B22" s="27">
        <v>42870</v>
      </c>
    </row>
    <row r="23" spans="1:2" x14ac:dyDescent="0.3">
      <c r="A23" s="24" t="s">
        <v>531</v>
      </c>
      <c r="B23" s="25">
        <v>100000</v>
      </c>
    </row>
    <row r="24" spans="1:2" x14ac:dyDescent="0.3">
      <c r="A24" s="24" t="s">
        <v>532</v>
      </c>
      <c r="B24" s="25">
        <v>78630</v>
      </c>
    </row>
    <row r="25" spans="1:2" s="22" customFormat="1" x14ac:dyDescent="0.3">
      <c r="A25" s="26" t="s">
        <v>499</v>
      </c>
      <c r="B25" s="27">
        <v>178630</v>
      </c>
    </row>
    <row r="26" spans="1:2" s="22" customFormat="1" x14ac:dyDescent="0.3">
      <c r="A26" s="26" t="s">
        <v>533</v>
      </c>
      <c r="B26" s="27">
        <v>221500</v>
      </c>
    </row>
    <row r="27" spans="1:2" s="22" customFormat="1" x14ac:dyDescent="0.3">
      <c r="A27" s="26" t="s">
        <v>534</v>
      </c>
      <c r="B27" s="27">
        <v>0</v>
      </c>
    </row>
    <row r="28" spans="1:2" x14ac:dyDescent="0.3">
      <c r="A28" s="24"/>
    </row>
    <row r="29" spans="1:2" x14ac:dyDescent="0.3">
      <c r="A29" s="24"/>
    </row>
  </sheetData>
  <pageMargins left="0.75" right="0.75" top="1" bottom="1" header="0.5" footer="0.5"/>
  <pageSetup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"/>
  <sheetViews>
    <sheetView tabSelected="1" zoomScale="90" workbookViewId="0">
      <pane ySplit="1" topLeftCell="A2" activePane="bottomLeft" state="frozen"/>
      <selection pane="bottomLeft" activeCell="C8" sqref="C8"/>
    </sheetView>
  </sheetViews>
  <sheetFormatPr defaultRowHeight="14.4" x14ac:dyDescent="0.3"/>
  <cols>
    <col min="1" max="1" width="24" customWidth="1"/>
    <col min="2" max="2" width="25" customWidth="1"/>
    <col min="3" max="3" width="65" customWidth="1"/>
    <col min="4" max="4" width="12" customWidth="1"/>
    <col min="5" max="5" width="27" customWidth="1"/>
    <col min="6" max="6" width="64" customWidth="1"/>
  </cols>
  <sheetData>
    <row r="1" spans="1:6" ht="30" customHeight="1" x14ac:dyDescent="0.3">
      <c r="A1" s="30" t="s">
        <v>503</v>
      </c>
      <c r="B1" s="3" t="s">
        <v>504</v>
      </c>
      <c r="C1" s="3" t="s">
        <v>505</v>
      </c>
      <c r="D1" s="3" t="s">
        <v>506</v>
      </c>
      <c r="E1" s="3" t="s">
        <v>20</v>
      </c>
      <c r="F1" s="3" t="s">
        <v>507</v>
      </c>
    </row>
    <row r="2" spans="1:6" ht="34.049999999999997" customHeight="1" x14ac:dyDescent="0.3">
      <c r="A2" t="s">
        <v>508</v>
      </c>
      <c r="B2" s="13">
        <v>506000</v>
      </c>
      <c r="C2" s="13">
        <f>SUMIFS(CLEAN_TRANSACTIONS!$G:$G,CLEAN_TRANSACTIONS!$C:$C,"Revenue")</f>
        <v>506000</v>
      </c>
      <c r="D2" s="13">
        <f t="shared" ref="D2:D7" si="0">C2-B2</f>
        <v>0</v>
      </c>
      <c r="E2" s="19" t="str">
        <f t="shared" ref="E2:E7" si="1">IF(D2=0,"PASS","REVIEW")</f>
        <v>PASS</v>
      </c>
      <c r="F2" s="2" t="s">
        <v>509</v>
      </c>
    </row>
    <row r="3" spans="1:6" ht="34.049999999999997" customHeight="1" x14ac:dyDescent="0.3">
      <c r="A3" t="s">
        <v>510</v>
      </c>
      <c r="B3" s="13">
        <v>459006</v>
      </c>
      <c r="C3" s="13">
        <f>SUMIFS(CLEAN_TRANSACTIONS!$G:$G,CLEAN_TRANSACTIONS!$C:$C,"Expense")</f>
        <v>459006</v>
      </c>
      <c r="D3" s="13">
        <f t="shared" si="0"/>
        <v>0</v>
      </c>
      <c r="E3" s="19" t="str">
        <f t="shared" si="1"/>
        <v>PASS</v>
      </c>
      <c r="F3" s="2" t="s">
        <v>511</v>
      </c>
    </row>
    <row r="4" spans="1:6" ht="34.049999999999997" customHeight="1" x14ac:dyDescent="0.3">
      <c r="A4" t="s">
        <v>512</v>
      </c>
      <c r="B4" s="13">
        <v>46994</v>
      </c>
      <c r="C4" s="13">
        <f>B2-B3</f>
        <v>46994</v>
      </c>
      <c r="D4" s="13">
        <f t="shared" si="0"/>
        <v>0</v>
      </c>
      <c r="E4" s="19" t="str">
        <f t="shared" si="1"/>
        <v>PASS</v>
      </c>
      <c r="F4" s="2" t="s">
        <v>513</v>
      </c>
    </row>
    <row r="5" spans="1:6" ht="34.049999999999997" customHeight="1" x14ac:dyDescent="0.3">
      <c r="A5" t="s">
        <v>514</v>
      </c>
      <c r="B5" s="13">
        <v>12470</v>
      </c>
      <c r="C5" s="13">
        <f>SUM(AP_OPEN!C:C)</f>
        <v>12470</v>
      </c>
      <c r="D5" s="13">
        <f t="shared" si="0"/>
        <v>0</v>
      </c>
      <c r="E5" s="19" t="str">
        <f t="shared" si="1"/>
        <v>PASS</v>
      </c>
      <c r="F5" s="2" t="s">
        <v>515</v>
      </c>
    </row>
    <row r="6" spans="1:6" ht="34.049999999999997" customHeight="1" x14ac:dyDescent="0.3">
      <c r="A6" t="s">
        <v>516</v>
      </c>
      <c r="B6" s="13">
        <v>66100</v>
      </c>
      <c r="C6" s="13">
        <f>SUM(AR_OPEN!C:C)</f>
        <v>66100</v>
      </c>
      <c r="D6" s="13">
        <f t="shared" si="0"/>
        <v>0</v>
      </c>
      <c r="E6" s="19" t="str">
        <f t="shared" si="1"/>
        <v>PASS</v>
      </c>
      <c r="F6" s="2" t="s">
        <v>517</v>
      </c>
    </row>
    <row r="7" spans="1:6" ht="34.049999999999997" customHeight="1" x14ac:dyDescent="0.3">
      <c r="A7" t="s">
        <v>518</v>
      </c>
      <c r="B7" s="13">
        <v>0</v>
      </c>
      <c r="C7" s="13">
        <f>BALANCE_SHEET!B6</f>
        <v>0</v>
      </c>
      <c r="D7" s="13">
        <f t="shared" si="0"/>
        <v>0</v>
      </c>
      <c r="E7" s="19" t="str">
        <f t="shared" si="1"/>
        <v>PASS</v>
      </c>
      <c r="F7" s="2" t="s">
        <v>519</v>
      </c>
    </row>
  </sheetData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START_HERE</vt:lpstr>
      <vt:lpstr>RAW_MESSY</vt:lpstr>
      <vt:lpstr>CLEAN_TRANSACTIONS</vt:lpstr>
      <vt:lpstr>MONTHLY_SUMMARY</vt:lpstr>
      <vt:lpstr>P_AND_L</vt:lpstr>
      <vt:lpstr>AR_OPEN</vt:lpstr>
      <vt:lpstr>AP_OPEN</vt:lpstr>
      <vt:lpstr>BALANCE_SHEET</vt:lpstr>
      <vt:lpstr>QA_CHECKS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Northstar Spreadsheet Cleanup Portfolio Demo</dc:title>
  <dc:subject>Fictional FY2025 spreadsheet cleanup and financial reporting exercise</dc:subject>
  <dc:creator>Portfolio demonstration</dc:creator>
  <dc:description>Contains synthetic transaction rows built to match user-supplied report totals.</dc:description>
  <cp:lastModifiedBy>Jen Shahi</cp:lastModifiedBy>
  <dcterms:created xsi:type="dcterms:W3CDTF">2026-10-27T08:00:19Z</dcterms:created>
  <dcterms:modified xsi:type="dcterms:W3CDTF">2026-10-27T08:54:08Z</dcterms:modified>
</cp:coreProperties>
</file>